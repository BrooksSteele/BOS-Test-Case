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gihou.sharepoint.com/sites/PropertyManagement/Property Management/Residential/Due Diligence/1-Materials/"/>
    </mc:Choice>
  </mc:AlternateContent>
  <xr:revisionPtr revIDLastSave="794" documentId="8_{47A32FCB-1576-4004-B4C5-8BE24CF39124}" xr6:coauthVersionLast="47" xr6:coauthVersionMax="47" xr10:uidLastSave="{1EE22194-43B7-4602-98AD-32449D2542FD}"/>
  <bookViews>
    <workbookView xWindow="-57720" yWindow="75" windowWidth="29040" windowHeight="15720" tabRatio="898" firstSheet="4" activeTab="13" xr2:uid="{99AF9FFD-485A-418B-A29B-8FE9D444669E}"/>
  </bookViews>
  <sheets>
    <sheet name="INPUTS" sheetId="22" r:id="rId1"/>
    <sheet name="T-12 Inputs" sheetId="1" r:id="rId2"/>
    <sheet name="Other Income Assumptions" sheetId="12" r:id="rId3"/>
    <sheet name="Payroll Schedule - Lease-Up" sheetId="21" r:id="rId4"/>
    <sheet name="Payroll Schedule" sheetId="4" r:id="rId5"/>
    <sheet name="G&amp;A Assumptions" sheetId="9" r:id="rId6"/>
    <sheet name="Marketing Stack - Lease-Up" sheetId="20" r:id="rId7"/>
    <sheet name="Marketing Stack" sheetId="5" r:id="rId8"/>
    <sheet name="R&amp;M Assumptions" sheetId="7" r:id="rId9"/>
    <sheet name="Utilities Assumptions" sheetId="13" r:id="rId10"/>
    <sheet name="Rent Schedule" sheetId="16" r:id="rId11"/>
    <sheet name="Absorption Schedule" sheetId="18" r:id="rId12"/>
    <sheet name="OUTPUTS" sheetId="24" r:id="rId13"/>
    <sheet name="Proforma (Annual)" sheetId="11" r:id="rId14"/>
    <sheet name="5-Year Projection" sheetId="25" r:id="rId15"/>
    <sheet name="Operating Budget - Monthly" sheetId="17" r:id="rId16"/>
    <sheet name="Lease-Up Proforma" sheetId="19" r:id="rId17"/>
    <sheet name="MISCELLANEOUS" sheetId="23" r:id="rId18"/>
    <sheet name="Marketing List - Dropdowns" sheetId="6" r:id="rId19"/>
    <sheet name="OpStatement List - Dropdowns" sheetId="2" r:id="rId20"/>
  </sheets>
  <externalReferences>
    <externalReference r:id="rId21"/>
  </externalReferences>
  <definedNames>
    <definedName name="_xlnm._FilterDatabase" localSheetId="5" hidden="1">'G&amp;A Assumptions'!$B$5:$R$103</definedName>
    <definedName name="_xlnm._FilterDatabase" localSheetId="7" hidden="1">'Marketing Stack'!$C$5:$P$5</definedName>
    <definedName name="_xlnm._FilterDatabase" localSheetId="6" hidden="1">'Marketing Stack - Lease-Up'!$C$5:$P$5</definedName>
    <definedName name="_xlnm._FilterDatabase" localSheetId="15" hidden="1">'Operating Budget - Monthly'!$C$28:$C$53</definedName>
    <definedName name="_xlnm._FilterDatabase" localSheetId="19" hidden="1">'OpStatement List - Dropdowns'!$I$10:$I$52</definedName>
    <definedName name="_xlnm._FilterDatabase" localSheetId="2" hidden="1">'Other Income Assumptions'!$B$5:$R$5</definedName>
    <definedName name="_xlnm._FilterDatabase" localSheetId="13" hidden="1">'Proforma (Annual)'!$A$22:$A$47</definedName>
    <definedName name="_xlnm._FilterDatabase" localSheetId="8" hidden="1">'R&amp;M Assumptions'!$B$5:$R$103</definedName>
    <definedName name="_xlnm._FilterDatabase" localSheetId="9" hidden="1">'Utilities Assumptions'!$B$5:$Q$5</definedName>
    <definedName name="CapMonth">'Absorption Schedule'!#REF!</definedName>
    <definedName name="CapPct">'Absorption Schedule'!#REF!</definedName>
  </definedNames>
  <calcPr calcId="191029"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7" l="1"/>
  <c r="V53" i="17"/>
  <c r="V52" i="17"/>
  <c r="V51" i="17"/>
  <c r="U54" i="17"/>
  <c r="T54" i="17"/>
  <c r="S54" i="17"/>
  <c r="R54" i="17"/>
  <c r="Q54" i="17"/>
  <c r="P54" i="17"/>
  <c r="O54" i="17"/>
  <c r="N54" i="17"/>
  <c r="M54" i="17"/>
  <c r="L54" i="17"/>
  <c r="K54" i="17"/>
  <c r="U53" i="17"/>
  <c r="T53" i="17"/>
  <c r="S53" i="17"/>
  <c r="R53" i="17"/>
  <c r="Q53" i="17"/>
  <c r="P53" i="17"/>
  <c r="O53" i="17"/>
  <c r="N53" i="17"/>
  <c r="M53" i="17"/>
  <c r="L53" i="17"/>
  <c r="K53" i="17"/>
  <c r="U52" i="17"/>
  <c r="T52" i="17"/>
  <c r="S52" i="17"/>
  <c r="R52" i="17"/>
  <c r="Q52" i="17"/>
  <c r="P52" i="17"/>
  <c r="O52" i="17"/>
  <c r="N52" i="17"/>
  <c r="M52" i="17"/>
  <c r="L52" i="17"/>
  <c r="K52" i="17"/>
  <c r="U51" i="17"/>
  <c r="T51" i="17"/>
  <c r="S51" i="17"/>
  <c r="R51" i="17"/>
  <c r="Q51" i="17"/>
  <c r="P51" i="17"/>
  <c r="O51" i="17"/>
  <c r="N51" i="17"/>
  <c r="M51" i="17"/>
  <c r="L51" i="17"/>
  <c r="K51" i="17"/>
  <c r="F33" i="17"/>
  <c r="Q37" i="5"/>
  <c r="Q36" i="5"/>
  <c r="Q35" i="5"/>
  <c r="Q34" i="5"/>
  <c r="Q33" i="5"/>
  <c r="Q32" i="5"/>
  <c r="P24" i="13"/>
  <c r="O24" i="13"/>
  <c r="N24" i="13"/>
  <c r="M24" i="13"/>
  <c r="L24" i="13"/>
  <c r="K24" i="13"/>
  <c r="J24" i="13"/>
  <c r="I24" i="13"/>
  <c r="H24" i="13"/>
  <c r="G24" i="13"/>
  <c r="F24" i="13"/>
  <c r="E24" i="13"/>
  <c r="D24" i="13"/>
  <c r="E103" i="7"/>
  <c r="Q103" i="7" s="1"/>
  <c r="F103" i="7"/>
  <c r="P103" i="7"/>
  <c r="O103" i="7"/>
  <c r="N103" i="7"/>
  <c r="M103" i="7"/>
  <c r="L103" i="7"/>
  <c r="K103" i="7"/>
  <c r="J103" i="7"/>
  <c r="I103" i="7"/>
  <c r="H103" i="7"/>
  <c r="G103" i="7"/>
  <c r="Q103" i="9"/>
  <c r="P103" i="9"/>
  <c r="O103" i="9"/>
  <c r="N103" i="9"/>
  <c r="M103" i="9"/>
  <c r="L103" i="9"/>
  <c r="K103" i="9"/>
  <c r="J103" i="9"/>
  <c r="I103" i="9"/>
  <c r="H103" i="9"/>
  <c r="G103" i="9"/>
  <c r="F103" i="9"/>
  <c r="E103" i="9"/>
  <c r="H14" i="17"/>
  <c r="I14" i="17" s="1"/>
  <c r="J14" i="17" s="1"/>
  <c r="K14" i="17" s="1"/>
  <c r="L14" i="17" s="1"/>
  <c r="M14" i="17" s="1"/>
  <c r="N14" i="17" s="1"/>
  <c r="O14" i="17" s="1"/>
  <c r="P14" i="17" s="1"/>
  <c r="Q14" i="17" s="1"/>
  <c r="R14" i="17" s="1"/>
  <c r="S14" i="17" s="1"/>
  <c r="T14" i="17" s="1"/>
  <c r="U14" i="17" s="1"/>
  <c r="V14" i="17" s="1"/>
  <c r="W14" i="17" s="1"/>
  <c r="X14" i="17" s="1"/>
  <c r="Y14" i="17" s="1"/>
  <c r="Z14" i="17" s="1"/>
  <c r="AA14" i="17" s="1"/>
  <c r="AB14" i="17" s="1"/>
  <c r="AC14" i="17" s="1"/>
  <c r="AD14" i="17" s="1"/>
  <c r="AE14" i="17" s="1"/>
  <c r="AF14" i="17" s="1"/>
  <c r="AG14" i="17" s="1"/>
  <c r="AH14" i="17" s="1"/>
  <c r="AH10" i="17"/>
  <c r="AG10" i="17"/>
  <c r="AF10" i="17"/>
  <c r="AE10" i="17"/>
  <c r="AD10" i="17"/>
  <c r="AC10" i="17"/>
  <c r="AB10" i="17"/>
  <c r="AA10" i="17"/>
  <c r="Z10" i="17"/>
  <c r="Y10" i="17"/>
  <c r="X10" i="17"/>
  <c r="W10" i="17"/>
  <c r="V10" i="17"/>
  <c r="U10" i="17"/>
  <c r="T10" i="17"/>
  <c r="S10" i="17"/>
  <c r="R10" i="17"/>
  <c r="Q10" i="17"/>
  <c r="P10" i="17"/>
  <c r="O10" i="17"/>
  <c r="N10" i="17"/>
  <c r="M10" i="17"/>
  <c r="L10" i="17"/>
  <c r="K10" i="17"/>
  <c r="AH7" i="17"/>
  <c r="AG7" i="17"/>
  <c r="AF7" i="17"/>
  <c r="AE7" i="17"/>
  <c r="AD7" i="17"/>
  <c r="AC7" i="17"/>
  <c r="AB7" i="17"/>
  <c r="AA7" i="17"/>
  <c r="Z7" i="17"/>
  <c r="Y7" i="17"/>
  <c r="X7" i="17"/>
  <c r="W7" i="17"/>
  <c r="V7" i="17"/>
  <c r="U7" i="17"/>
  <c r="T7" i="17"/>
  <c r="S7" i="17"/>
  <c r="R7" i="17"/>
  <c r="Q7" i="17"/>
  <c r="P7" i="17"/>
  <c r="O7" i="17"/>
  <c r="N7" i="17"/>
  <c r="M7" i="17"/>
  <c r="L7" i="17"/>
  <c r="K7" i="17"/>
  <c r="AH6" i="17"/>
  <c r="AG6" i="17"/>
  <c r="AF6" i="17"/>
  <c r="AE6" i="17"/>
  <c r="AD6" i="17"/>
  <c r="AC6" i="17"/>
  <c r="AB6" i="17"/>
  <c r="AA6" i="17"/>
  <c r="Z6" i="17"/>
  <c r="Y6" i="17"/>
  <c r="X6" i="17"/>
  <c r="W6" i="17"/>
  <c r="V6" i="17"/>
  <c r="U6" i="17"/>
  <c r="T6" i="17"/>
  <c r="S6" i="17"/>
  <c r="R6" i="17"/>
  <c r="Q6" i="17"/>
  <c r="P6" i="17"/>
  <c r="O6" i="17"/>
  <c r="N6" i="17"/>
  <c r="M6" i="17"/>
  <c r="L6" i="17"/>
  <c r="K6" i="17"/>
  <c r="L84" i="11" l="1"/>
  <c r="I84" i="11"/>
  <c r="C91" i="25"/>
  <c r="F51" i="25"/>
  <c r="F50" i="25"/>
  <c r="F49" i="25"/>
  <c r="F48" i="25"/>
  <c r="F47" i="25"/>
  <c r="F46" i="25"/>
  <c r="F45" i="25"/>
  <c r="F44" i="25"/>
  <c r="F43" i="25"/>
  <c r="F42" i="25"/>
  <c r="F41" i="25"/>
  <c r="G41" i="25"/>
  <c r="G40" i="25"/>
  <c r="G39" i="25"/>
  <c r="G38" i="25"/>
  <c r="G37" i="25"/>
  <c r="G36" i="25"/>
  <c r="G52" i="25"/>
  <c r="H52" i="25" s="1"/>
  <c r="I52" i="25" s="1"/>
  <c r="J52" i="25" s="1"/>
  <c r="F52" i="25"/>
  <c r="G51" i="25"/>
  <c r="H51" i="25" s="1"/>
  <c r="I51" i="25" s="1"/>
  <c r="J51" i="25" s="1"/>
  <c r="G50" i="25"/>
  <c r="H50" i="25" s="1"/>
  <c r="I50" i="25" s="1"/>
  <c r="J50" i="25" s="1"/>
  <c r="G49" i="25"/>
  <c r="H49" i="25" s="1"/>
  <c r="I49" i="25" s="1"/>
  <c r="J49" i="25" s="1"/>
  <c r="G48" i="25"/>
  <c r="H48" i="25" s="1"/>
  <c r="I48" i="25" s="1"/>
  <c r="J48" i="25" s="1"/>
  <c r="G47" i="25"/>
  <c r="H47" i="25" s="1"/>
  <c r="I47" i="25" s="1"/>
  <c r="J47" i="25" s="1"/>
  <c r="G46" i="25"/>
  <c r="H46" i="25" s="1"/>
  <c r="I46" i="25" s="1"/>
  <c r="J46" i="25" s="1"/>
  <c r="G45" i="25"/>
  <c r="H45" i="25" s="1"/>
  <c r="I45" i="25" s="1"/>
  <c r="J45" i="25" s="1"/>
  <c r="E52" i="25"/>
  <c r="E51" i="25"/>
  <c r="E50" i="25"/>
  <c r="E49" i="25"/>
  <c r="E48" i="25"/>
  <c r="E47" i="25"/>
  <c r="E46" i="25"/>
  <c r="E45" i="25"/>
  <c r="E44" i="25"/>
  <c r="E43" i="25"/>
  <c r="E42" i="25"/>
  <c r="E41" i="25"/>
  <c r="E40" i="25"/>
  <c r="E39" i="25"/>
  <c r="E38" i="25"/>
  <c r="E37" i="25"/>
  <c r="E36" i="25"/>
  <c r="E35" i="25"/>
  <c r="E34" i="25"/>
  <c r="E33" i="25"/>
  <c r="E32" i="25"/>
  <c r="E31" i="25"/>
  <c r="E30" i="25"/>
  <c r="E29" i="25"/>
  <c r="E28" i="25"/>
  <c r="C52" i="25"/>
  <c r="C51" i="25"/>
  <c r="C50" i="25"/>
  <c r="C49" i="25"/>
  <c r="C48" i="25"/>
  <c r="C47" i="25"/>
  <c r="C46" i="25"/>
  <c r="C45" i="25"/>
  <c r="C44" i="25"/>
  <c r="C43" i="25"/>
  <c r="C42" i="25"/>
  <c r="C41" i="25"/>
  <c r="C40" i="25"/>
  <c r="C39" i="25"/>
  <c r="C38" i="25"/>
  <c r="C37" i="25"/>
  <c r="C36" i="25"/>
  <c r="C35" i="25"/>
  <c r="C34" i="25"/>
  <c r="C33" i="25"/>
  <c r="C32" i="25"/>
  <c r="C31" i="25"/>
  <c r="C30" i="25"/>
  <c r="C29" i="25"/>
  <c r="C28" i="25"/>
  <c r="H46" i="11" a="1"/>
  <c r="H46" i="11" s="1"/>
  <c r="I46" i="11" s="1"/>
  <c r="H45" i="11" a="1"/>
  <c r="H45" i="11" s="1"/>
  <c r="I45" i="11" s="1"/>
  <c r="H44" i="11" a="1"/>
  <c r="H44" i="11" s="1"/>
  <c r="I44" i="11" s="1"/>
  <c r="H43" i="11" a="1"/>
  <c r="H43" i="11" s="1"/>
  <c r="I43" i="11" s="1"/>
  <c r="H42" i="11" a="1"/>
  <c r="H42" i="11" s="1"/>
  <c r="I42" i="11" s="1"/>
  <c r="H41" i="11" a="1"/>
  <c r="H41" i="11" s="1"/>
  <c r="I41" i="11" s="1"/>
  <c r="W46" i="11"/>
  <c r="W45" i="11"/>
  <c r="W44" i="11"/>
  <c r="W43" i="11"/>
  <c r="W42" i="11"/>
  <c r="W41" i="11"/>
  <c r="N46" i="11" a="1"/>
  <c r="N46" i="11" s="1"/>
  <c r="O46" i="11" s="1"/>
  <c r="N45" i="11" a="1"/>
  <c r="N45" i="11" s="1"/>
  <c r="O45" i="11" s="1"/>
  <c r="N44" i="11" a="1"/>
  <c r="N44" i="11" s="1"/>
  <c r="O44" i="11" s="1"/>
  <c r="N43" i="11" a="1"/>
  <c r="N43" i="11" s="1"/>
  <c r="O43" i="11" s="1"/>
  <c r="N42" i="11" a="1"/>
  <c r="N42" i="11" s="1"/>
  <c r="O42" i="11" s="1"/>
  <c r="N41" i="11" a="1"/>
  <c r="N41" i="11" s="1"/>
  <c r="O41" i="11" s="1"/>
  <c r="K46" i="11" a="1"/>
  <c r="K46" i="11" s="1"/>
  <c r="L46" i="11" s="1"/>
  <c r="K45" i="11" a="1"/>
  <c r="K45" i="11" s="1"/>
  <c r="L45" i="11" s="1"/>
  <c r="K44" i="11" a="1"/>
  <c r="K44" i="11" s="1"/>
  <c r="L44" i="11" s="1"/>
  <c r="K43" i="11" a="1"/>
  <c r="K43" i="11" s="1"/>
  <c r="L43" i="11" s="1"/>
  <c r="K42" i="11" a="1"/>
  <c r="K42" i="11" s="1"/>
  <c r="L42" i="11" s="1"/>
  <c r="K41" i="11" a="1"/>
  <c r="K41" i="11" s="1"/>
  <c r="L41" i="11" s="1"/>
  <c r="E46" i="11" a="1"/>
  <c r="E46" i="11" s="1"/>
  <c r="F46" i="11" s="1"/>
  <c r="E45" i="11" a="1"/>
  <c r="E45" i="11" s="1"/>
  <c r="F45" i="11" s="1"/>
  <c r="E44" i="11" a="1"/>
  <c r="E44" i="11" s="1"/>
  <c r="F44" i="11" s="1"/>
  <c r="E43" i="11" a="1"/>
  <c r="E43" i="11" s="1"/>
  <c r="F43" i="11" s="1"/>
  <c r="E42" i="11" a="1"/>
  <c r="E42" i="11" s="1"/>
  <c r="F42" i="11" s="1"/>
  <c r="E41" i="11" a="1"/>
  <c r="E41" i="11" s="1"/>
  <c r="F41" i="11" s="1"/>
  <c r="I25" i="18"/>
  <c r="E5" i="12" s="1"/>
  <c r="E5" i="7"/>
  <c r="E5" i="5"/>
  <c r="E5" i="20"/>
  <c r="E5" i="9"/>
  <c r="AF32" i="18"/>
  <c r="AE32" i="18"/>
  <c r="AD32" i="18"/>
  <c r="AC32" i="18"/>
  <c r="AB32" i="18"/>
  <c r="AA32" i="18"/>
  <c r="Z32" i="18"/>
  <c r="Y32" i="18"/>
  <c r="X32" i="18"/>
  <c r="W32" i="18"/>
  <c r="V32" i="18"/>
  <c r="U32" i="18"/>
  <c r="T32" i="18"/>
  <c r="S32" i="18"/>
  <c r="R32" i="18"/>
  <c r="Q32" i="18"/>
  <c r="AC28" i="18" s="1"/>
  <c r="P32" i="18"/>
  <c r="AB28" i="18" s="1"/>
  <c r="O32" i="18"/>
  <c r="AA28" i="18" s="1"/>
  <c r="N32" i="18"/>
  <c r="M32" i="18"/>
  <c r="Y28" i="18" s="1"/>
  <c r="L32" i="18"/>
  <c r="X28" i="18" s="1"/>
  <c r="K32" i="18"/>
  <c r="W28" i="18" s="1"/>
  <c r="J32" i="18"/>
  <c r="V28" i="18" s="1"/>
  <c r="I32" i="18"/>
  <c r="I35" i="18" s="1"/>
  <c r="T28" i="18"/>
  <c r="S28" i="18"/>
  <c r="R28" i="18"/>
  <c r="Q28" i="18"/>
  <c r="P28" i="18"/>
  <c r="P35" i="18" s="1"/>
  <c r="O28" i="18"/>
  <c r="N28" i="18"/>
  <c r="M28" i="18"/>
  <c r="L28" i="18"/>
  <c r="K28" i="18"/>
  <c r="J28" i="18"/>
  <c r="I28" i="18"/>
  <c r="J25" i="18"/>
  <c r="J12" i="18" s="1"/>
  <c r="J14" i="18" s="1"/>
  <c r="J19" i="18" s="1"/>
  <c r="H25" i="18"/>
  <c r="G25" i="18" s="1"/>
  <c r="F25" i="18" s="1"/>
  <c r="E16" i="18" a="1"/>
  <c r="E16" i="18" s="1"/>
  <c r="I12" i="18"/>
  <c r="I14" i="18" s="1"/>
  <c r="I20" i="18" s="1"/>
  <c r="J110" i="25"/>
  <c r="I110" i="25"/>
  <c r="H110" i="25"/>
  <c r="G110" i="25"/>
  <c r="F110" i="25"/>
  <c r="E110" i="25"/>
  <c r="V73" i="11"/>
  <c r="C103" i="25"/>
  <c r="C102" i="25"/>
  <c r="C101" i="25"/>
  <c r="C100" i="25"/>
  <c r="C99" i="25"/>
  <c r="C98" i="25"/>
  <c r="C97" i="25"/>
  <c r="C96" i="25"/>
  <c r="C93" i="25"/>
  <c r="C92" i="25"/>
  <c r="C90" i="25"/>
  <c r="C89" i="25"/>
  <c r="C88" i="25"/>
  <c r="C87" i="25"/>
  <c r="C86" i="25"/>
  <c r="C85" i="25"/>
  <c r="C82" i="25"/>
  <c r="F82" i="25" s="1"/>
  <c r="G82" i="25" s="1"/>
  <c r="H82" i="25" s="1"/>
  <c r="I82" i="25" s="1"/>
  <c r="J82" i="25" s="1"/>
  <c r="C81" i="25"/>
  <c r="F81" i="25" s="1"/>
  <c r="G81" i="25" s="1"/>
  <c r="H81" i="25" s="1"/>
  <c r="I81" i="25" s="1"/>
  <c r="J81" i="25" s="1"/>
  <c r="C80" i="25"/>
  <c r="C79" i="25"/>
  <c r="F79" i="25" s="1"/>
  <c r="C76" i="25"/>
  <c r="C75" i="25"/>
  <c r="C74" i="25"/>
  <c r="C73" i="25"/>
  <c r="C72" i="25"/>
  <c r="C65" i="25"/>
  <c r="C64" i="25"/>
  <c r="C63" i="25"/>
  <c r="C62" i="25"/>
  <c r="C61" i="25"/>
  <c r="C60" i="25"/>
  <c r="G63" i="25"/>
  <c r="H63" i="25" s="1"/>
  <c r="I63" i="25" s="1"/>
  <c r="J63" i="25" s="1"/>
  <c r="F65" i="25"/>
  <c r="G65" i="25" s="1"/>
  <c r="H65" i="25" s="1"/>
  <c r="I65" i="25" s="1"/>
  <c r="J65" i="25" s="1"/>
  <c r="F62" i="25"/>
  <c r="G62" i="25" s="1"/>
  <c r="H62" i="25" s="1"/>
  <c r="I62" i="25" s="1"/>
  <c r="J62" i="25" s="1"/>
  <c r="F61" i="25"/>
  <c r="G61" i="25" s="1"/>
  <c r="H61" i="25" s="1"/>
  <c r="I61" i="25" s="1"/>
  <c r="J61" i="25" s="1"/>
  <c r="F60" i="25"/>
  <c r="G60" i="25" s="1"/>
  <c r="H60" i="25" s="1"/>
  <c r="I60" i="25" s="1"/>
  <c r="J60" i="25" s="1"/>
  <c r="D5" i="13" l="1"/>
  <c r="AA35" i="18"/>
  <c r="I18" i="18"/>
  <c r="N35" i="18"/>
  <c r="AB35" i="18"/>
  <c r="M35" i="18"/>
  <c r="AC35" i="18"/>
  <c r="V35" i="18"/>
  <c r="J35" i="18"/>
  <c r="K35" i="18"/>
  <c r="L35" i="18"/>
  <c r="O35" i="18"/>
  <c r="Q35" i="18"/>
  <c r="J16" i="18"/>
  <c r="I16" i="18"/>
  <c r="Z28" i="18"/>
  <c r="Z35" i="18" s="1"/>
  <c r="J17" i="18"/>
  <c r="J20" i="18"/>
  <c r="R35" i="18"/>
  <c r="J18" i="18"/>
  <c r="AD28" i="18"/>
  <c r="AD35" i="18" s="1"/>
  <c r="AF28" i="18"/>
  <c r="AF35" i="18" s="1"/>
  <c r="T35" i="18"/>
  <c r="W35" i="18"/>
  <c r="J21" i="18"/>
  <c r="K25" i="18"/>
  <c r="AE28" i="18"/>
  <c r="AE35" i="18" s="1"/>
  <c r="S35" i="18"/>
  <c r="X35" i="18"/>
  <c r="Y35" i="18"/>
  <c r="I21" i="18"/>
  <c r="I19" i="18"/>
  <c r="I17" i="18"/>
  <c r="U28" i="18"/>
  <c r="U35" i="18" s="1"/>
  <c r="G79" i="25"/>
  <c r="E31" i="16"/>
  <c r="G18" i="4"/>
  <c r="D50" i="4"/>
  <c r="D49" i="4"/>
  <c r="D48" i="4"/>
  <c r="C50" i="4"/>
  <c r="C49" i="4"/>
  <c r="C48" i="4"/>
  <c r="N39" i="11" a="1"/>
  <c r="N39" i="11" s="1"/>
  <c r="K39" i="11" a="1"/>
  <c r="K39" i="11" s="1"/>
  <c r="H39" i="11" a="1"/>
  <c r="H39" i="11" s="1"/>
  <c r="E39" i="11" a="1"/>
  <c r="E39" i="11" s="1"/>
  <c r="G44" i="25" s="1"/>
  <c r="H44" i="25" s="1"/>
  <c r="I44" i="25" s="1"/>
  <c r="J44" i="25" s="1"/>
  <c r="E95" i="11" a="1"/>
  <c r="E95" i="11" s="1"/>
  <c r="E101" i="25" s="1"/>
  <c r="H95" i="11" a="1"/>
  <c r="H95" i="11" s="1"/>
  <c r="K95" i="11" a="1"/>
  <c r="K95" i="11" s="1"/>
  <c r="N95" i="11" a="1"/>
  <c r="N95" i="11" s="1"/>
  <c r="E96" i="11" a="1"/>
  <c r="E96" i="11" s="1"/>
  <c r="H96" i="11" a="1"/>
  <c r="H96" i="11" s="1"/>
  <c r="K96" i="11" a="1"/>
  <c r="K96" i="11" s="1"/>
  <c r="N96" i="11" a="1"/>
  <c r="N96" i="11" s="1"/>
  <c r="E97" i="11" a="1"/>
  <c r="E97" i="11" s="1"/>
  <c r="H97" i="11" a="1"/>
  <c r="H97" i="11" s="1"/>
  <c r="K97" i="11" a="1"/>
  <c r="K97" i="11" s="1"/>
  <c r="N97" i="11" a="1"/>
  <c r="N97" i="11" s="1"/>
  <c r="T4" i="16"/>
  <c r="H31" i="16"/>
  <c r="S31" i="16"/>
  <c r="R31" i="16"/>
  <c r="V31" i="16"/>
  <c r="U31" i="16"/>
  <c r="I5" i="16"/>
  <c r="J5" i="16"/>
  <c r="L5" i="16" s="1"/>
  <c r="M5" i="16" s="1"/>
  <c r="N5" i="16" s="1"/>
  <c r="S5" i="16"/>
  <c r="T5" i="16"/>
  <c r="V5" i="16"/>
  <c r="X5" i="16"/>
  <c r="I6" i="16"/>
  <c r="J6" i="16"/>
  <c r="L6" i="16" s="1"/>
  <c r="M6" i="16" s="1"/>
  <c r="S6" i="16"/>
  <c r="X6" i="16" s="1"/>
  <c r="T6" i="16"/>
  <c r="V6" i="16"/>
  <c r="I7" i="16"/>
  <c r="J7" i="16"/>
  <c r="S7" i="16"/>
  <c r="X7" i="16" s="1"/>
  <c r="T7" i="16"/>
  <c r="V7" i="16"/>
  <c r="I8" i="16"/>
  <c r="J8" i="16"/>
  <c r="L8" i="16" s="1"/>
  <c r="S8" i="16"/>
  <c r="X8" i="16" s="1"/>
  <c r="T8" i="16"/>
  <c r="V8" i="16"/>
  <c r="I9" i="16"/>
  <c r="J9" i="16"/>
  <c r="P9" i="16" s="1"/>
  <c r="S9" i="16"/>
  <c r="X9" i="16" s="1"/>
  <c r="T9" i="16"/>
  <c r="V9" i="16"/>
  <c r="I10" i="16"/>
  <c r="J10" i="16"/>
  <c r="P10" i="16" s="1"/>
  <c r="S10" i="16"/>
  <c r="X10" i="16" s="1"/>
  <c r="T10" i="16"/>
  <c r="V10" i="16"/>
  <c r="I11" i="16"/>
  <c r="J11" i="16"/>
  <c r="P11" i="16" s="1"/>
  <c r="S11" i="16"/>
  <c r="X11" i="16" s="1"/>
  <c r="T11" i="16"/>
  <c r="V11" i="16"/>
  <c r="I12" i="16"/>
  <c r="J12" i="16"/>
  <c r="L12" i="16" s="1"/>
  <c r="S12" i="16"/>
  <c r="T12" i="16"/>
  <c r="V12" i="16"/>
  <c r="X12" i="16"/>
  <c r="I13" i="16"/>
  <c r="J13" i="16"/>
  <c r="S13" i="16"/>
  <c r="X13" i="16" s="1"/>
  <c r="T13" i="16"/>
  <c r="V13" i="16"/>
  <c r="I14" i="16"/>
  <c r="J14" i="16"/>
  <c r="L14" i="16" s="1"/>
  <c r="S14" i="16"/>
  <c r="X14" i="16" s="1"/>
  <c r="T14" i="16"/>
  <c r="V14" i="16"/>
  <c r="I15" i="16"/>
  <c r="J15" i="16"/>
  <c r="P15" i="16" s="1"/>
  <c r="S15" i="16"/>
  <c r="X15" i="16" s="1"/>
  <c r="T15" i="16"/>
  <c r="V15" i="16"/>
  <c r="I16" i="16"/>
  <c r="J16" i="16"/>
  <c r="P16" i="16" s="1"/>
  <c r="S16" i="16"/>
  <c r="X16" i="16" s="1"/>
  <c r="T16" i="16"/>
  <c r="V16" i="16"/>
  <c r="I17" i="16"/>
  <c r="J17" i="16"/>
  <c r="L17" i="16" s="1"/>
  <c r="S17" i="16"/>
  <c r="X17" i="16" s="1"/>
  <c r="T17" i="16"/>
  <c r="V17" i="16"/>
  <c r="I18" i="16"/>
  <c r="J18" i="16"/>
  <c r="S18" i="16"/>
  <c r="X18" i="16" s="1"/>
  <c r="T18" i="16"/>
  <c r="V18" i="16"/>
  <c r="I19" i="16"/>
  <c r="J19" i="16"/>
  <c r="P19" i="16" s="1"/>
  <c r="S19" i="16"/>
  <c r="X19" i="16" s="1"/>
  <c r="T19" i="16"/>
  <c r="V19" i="16"/>
  <c r="I20" i="16"/>
  <c r="J20" i="16"/>
  <c r="S20" i="16"/>
  <c r="X20" i="16" s="1"/>
  <c r="T20" i="16"/>
  <c r="V20" i="16"/>
  <c r="I21" i="16"/>
  <c r="J21" i="16"/>
  <c r="L21" i="16" s="1"/>
  <c r="S21" i="16"/>
  <c r="X21" i="16" s="1"/>
  <c r="T21" i="16"/>
  <c r="V21" i="16"/>
  <c r="I22" i="16"/>
  <c r="J22" i="16"/>
  <c r="P22" i="16" s="1"/>
  <c r="S22" i="16"/>
  <c r="X22" i="16" s="1"/>
  <c r="T22" i="16"/>
  <c r="V22" i="16"/>
  <c r="I23" i="16"/>
  <c r="J23" i="16"/>
  <c r="L23" i="16" s="1"/>
  <c r="S23" i="16"/>
  <c r="X23" i="16" s="1"/>
  <c r="T23" i="16"/>
  <c r="V23" i="16"/>
  <c r="I24" i="16"/>
  <c r="J24" i="16"/>
  <c r="P24" i="16" s="1"/>
  <c r="S24" i="16"/>
  <c r="X24" i="16" s="1"/>
  <c r="T24" i="16"/>
  <c r="V24" i="16"/>
  <c r="I25" i="16"/>
  <c r="J25" i="16"/>
  <c r="P25" i="16" s="1"/>
  <c r="L25" i="16"/>
  <c r="M25" i="16" s="1"/>
  <c r="S25" i="16"/>
  <c r="T25" i="16"/>
  <c r="V25" i="16"/>
  <c r="X25" i="16"/>
  <c r="I26" i="16"/>
  <c r="J26" i="16"/>
  <c r="L26" i="16" s="1"/>
  <c r="M26" i="16"/>
  <c r="N26" i="16" s="1"/>
  <c r="S26" i="16"/>
  <c r="X26" i="16" s="1"/>
  <c r="T26" i="16"/>
  <c r="V26" i="16"/>
  <c r="I27" i="16"/>
  <c r="J27" i="16"/>
  <c r="P27" i="16" s="1"/>
  <c r="L27" i="16"/>
  <c r="S27" i="16"/>
  <c r="X27" i="16" s="1"/>
  <c r="T27" i="16"/>
  <c r="V27" i="16"/>
  <c r="I28" i="16"/>
  <c r="J28" i="16"/>
  <c r="L28" i="16" s="1"/>
  <c r="S28" i="16"/>
  <c r="X28" i="16" s="1"/>
  <c r="T28" i="16"/>
  <c r="V28" i="16"/>
  <c r="I29" i="16"/>
  <c r="J29" i="16"/>
  <c r="P29" i="16" s="1"/>
  <c r="S29" i="16"/>
  <c r="X29" i="16" s="1"/>
  <c r="T29" i="16"/>
  <c r="V29" i="16"/>
  <c r="I30" i="16"/>
  <c r="J30" i="16"/>
  <c r="S30" i="16"/>
  <c r="X30" i="16" s="1"/>
  <c r="T30" i="16"/>
  <c r="V30" i="16"/>
  <c r="V4" i="16"/>
  <c r="S4" i="16"/>
  <c r="X4" i="16" s="1"/>
  <c r="I4" i="16"/>
  <c r="R13" i="5"/>
  <c r="C2" i="11"/>
  <c r="C5" i="21" s="1"/>
  <c r="C43" i="4"/>
  <c r="C43" i="21"/>
  <c r="R434"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E10" i="11" a="1"/>
  <c r="E10" i="11" s="1"/>
  <c r="E23" i="11" a="1"/>
  <c r="E23" i="11" s="1"/>
  <c r="E24" i="11" a="1"/>
  <c r="E24" i="11" s="1"/>
  <c r="E25" i="11" a="1"/>
  <c r="E25" i="11" s="1"/>
  <c r="F30" i="25" s="1"/>
  <c r="G30" i="25" s="1"/>
  <c r="H30" i="25" s="1"/>
  <c r="I30" i="25" s="1"/>
  <c r="J30" i="25" s="1"/>
  <c r="E26" i="11" a="1"/>
  <c r="E26" i="11" s="1"/>
  <c r="F31" i="25" s="1"/>
  <c r="G31" i="25" s="1"/>
  <c r="H31" i="25" s="1"/>
  <c r="I31" i="25" s="1"/>
  <c r="J31" i="25" s="1"/>
  <c r="E27" i="11" a="1"/>
  <c r="E27" i="11" s="1"/>
  <c r="F32" i="25" s="1"/>
  <c r="G32" i="25" s="1"/>
  <c r="H32" i="25" s="1"/>
  <c r="I32" i="25" s="1"/>
  <c r="J32" i="25" s="1"/>
  <c r="E28" i="11" a="1"/>
  <c r="E28" i="11" s="1"/>
  <c r="F33" i="25" s="1"/>
  <c r="G33" i="25" s="1"/>
  <c r="H33" i="25" s="1"/>
  <c r="I33" i="25" s="1"/>
  <c r="J33" i="25" s="1"/>
  <c r="E29" i="11" a="1"/>
  <c r="E29" i="11" s="1"/>
  <c r="F34" i="25" s="1"/>
  <c r="G34" i="25" s="1"/>
  <c r="H34" i="25" s="1"/>
  <c r="I34" i="25" s="1"/>
  <c r="J34" i="25" s="1"/>
  <c r="E30" i="11" a="1"/>
  <c r="E30" i="11" s="1"/>
  <c r="F35" i="25" s="1"/>
  <c r="G35" i="25" s="1"/>
  <c r="H35" i="25" s="1"/>
  <c r="I35" i="25" s="1"/>
  <c r="J35" i="25" s="1"/>
  <c r="E31" i="11" a="1"/>
  <c r="E31" i="11" s="1"/>
  <c r="F36" i="25" s="1"/>
  <c r="H36" i="25" s="1"/>
  <c r="I36" i="25" s="1"/>
  <c r="J36" i="25" s="1"/>
  <c r="E32" i="11" a="1"/>
  <c r="E32" i="11" s="1"/>
  <c r="F37" i="25" s="1"/>
  <c r="H37" i="25" s="1"/>
  <c r="I37" i="25" s="1"/>
  <c r="J37" i="25" s="1"/>
  <c r="E33" i="11" a="1"/>
  <c r="E33" i="11" s="1"/>
  <c r="F38" i="25" s="1"/>
  <c r="H38" i="25" s="1"/>
  <c r="I38" i="25" s="1"/>
  <c r="J38" i="25" s="1"/>
  <c r="E34" i="11" a="1"/>
  <c r="E34" i="11" s="1"/>
  <c r="E35" i="11" a="1"/>
  <c r="E35" i="11" s="1"/>
  <c r="F40" i="25" s="1"/>
  <c r="H40" i="25" s="1"/>
  <c r="I40" i="25" s="1"/>
  <c r="J40" i="25" s="1"/>
  <c r="E36" i="11" a="1"/>
  <c r="E36" i="11" s="1"/>
  <c r="E37" i="11" a="1"/>
  <c r="E37" i="11" s="1"/>
  <c r="G42" i="25" s="1"/>
  <c r="H42" i="25" s="1"/>
  <c r="I42" i="25" s="1"/>
  <c r="J42" i="25" s="1"/>
  <c r="E38" i="11" a="1"/>
  <c r="E38" i="11" s="1"/>
  <c r="G43" i="25" s="1"/>
  <c r="H43" i="25" s="1"/>
  <c r="I43" i="25" s="1"/>
  <c r="J43" i="25" s="1"/>
  <c r="E40" i="11" a="1"/>
  <c r="E40" i="11" s="1"/>
  <c r="E47" i="11" a="1"/>
  <c r="E47" i="11" s="1"/>
  <c r="C51" i="21"/>
  <c r="B49" i="21"/>
  <c r="B48" i="21"/>
  <c r="B47" i="21"/>
  <c r="B46" i="21"/>
  <c r="B44" i="21"/>
  <c r="B43" i="21"/>
  <c r="G33" i="21"/>
  <c r="G34" i="21"/>
  <c r="H32" i="21"/>
  <c r="G32" i="21"/>
  <c r="H31" i="21"/>
  <c r="G31" i="21"/>
  <c r="G30" i="21"/>
  <c r="H30" i="21"/>
  <c r="G29" i="21"/>
  <c r="H29" i="21"/>
  <c r="G28" i="21"/>
  <c r="H28" i="21"/>
  <c r="G27" i="21"/>
  <c r="H27" i="21"/>
  <c r="G26" i="21"/>
  <c r="H26" i="21"/>
  <c r="H34" i="21" s="1"/>
  <c r="J34" i="21" s="1"/>
  <c r="H24" i="21"/>
  <c r="D48" i="21" s="1"/>
  <c r="G21" i="21"/>
  <c r="H20" i="21"/>
  <c r="G20" i="21"/>
  <c r="H19" i="21"/>
  <c r="G19" i="21"/>
  <c r="G18" i="21"/>
  <c r="H18" i="21"/>
  <c r="G17" i="21"/>
  <c r="H17" i="21"/>
  <c r="G16" i="21"/>
  <c r="H16" i="21"/>
  <c r="G15" i="21"/>
  <c r="H15" i="21"/>
  <c r="H21" i="21" s="1"/>
  <c r="J21" i="21" s="1"/>
  <c r="H32" i="4"/>
  <c r="G27" i="4"/>
  <c r="G28" i="4"/>
  <c r="G29" i="4"/>
  <c r="G30" i="4"/>
  <c r="H30" i="4"/>
  <c r="G31" i="4"/>
  <c r="H31" i="4"/>
  <c r="G32" i="4"/>
  <c r="G33" i="4"/>
  <c r="H33" i="4"/>
  <c r="G26" i="4"/>
  <c r="G16" i="4"/>
  <c r="H16" i="4" s="1"/>
  <c r="H21" i="4" s="1"/>
  <c r="G17" i="4"/>
  <c r="H17" i="4"/>
  <c r="H18" i="4"/>
  <c r="G19" i="4"/>
  <c r="H19" i="4"/>
  <c r="G20" i="4"/>
  <c r="H20" i="4"/>
  <c r="G15" i="4"/>
  <c r="H15" i="4"/>
  <c r="H69" i="17"/>
  <c r="H33" i="21"/>
  <c r="G34" i="4"/>
  <c r="E69" i="11" a="1"/>
  <c r="E69" i="11" s="1"/>
  <c r="C51" i="4"/>
  <c r="V59" i="11"/>
  <c r="B49" i="4"/>
  <c r="B48" i="4"/>
  <c r="B47" i="4"/>
  <c r="B46" i="4"/>
  <c r="B44" i="4"/>
  <c r="B43" i="4"/>
  <c r="W428" i="1"/>
  <c r="V428" i="1"/>
  <c r="U428" i="1"/>
  <c r="T428" i="1"/>
  <c r="S428" i="1"/>
  <c r="Q428" i="1"/>
  <c r="W427" i="1"/>
  <c r="V427" i="1"/>
  <c r="U427" i="1"/>
  <c r="T427" i="1"/>
  <c r="S427" i="1"/>
  <c r="Q427" i="1"/>
  <c r="W426" i="1"/>
  <c r="V426" i="1"/>
  <c r="U426" i="1"/>
  <c r="T426" i="1"/>
  <c r="S426" i="1"/>
  <c r="Q426" i="1"/>
  <c r="W425" i="1"/>
  <c r="V425" i="1"/>
  <c r="U425" i="1"/>
  <c r="T425" i="1"/>
  <c r="S425" i="1"/>
  <c r="Q425" i="1"/>
  <c r="W424" i="1"/>
  <c r="V424" i="1"/>
  <c r="U424" i="1"/>
  <c r="T424" i="1"/>
  <c r="S424" i="1"/>
  <c r="Q424" i="1"/>
  <c r="W423" i="1"/>
  <c r="V423" i="1"/>
  <c r="U423" i="1"/>
  <c r="T423" i="1"/>
  <c r="S423" i="1"/>
  <c r="Q423" i="1"/>
  <c r="W422" i="1"/>
  <c r="V422" i="1"/>
  <c r="U422" i="1"/>
  <c r="T422" i="1"/>
  <c r="S422" i="1"/>
  <c r="Q422" i="1"/>
  <c r="W421" i="1"/>
  <c r="V421" i="1"/>
  <c r="U421" i="1"/>
  <c r="T421" i="1"/>
  <c r="S421" i="1"/>
  <c r="Q421" i="1"/>
  <c r="W420" i="1"/>
  <c r="V420" i="1"/>
  <c r="U420" i="1"/>
  <c r="T420" i="1"/>
  <c r="S420" i="1"/>
  <c r="Q420" i="1"/>
  <c r="W419" i="1"/>
  <c r="V419" i="1"/>
  <c r="U419" i="1"/>
  <c r="T419" i="1"/>
  <c r="S419" i="1"/>
  <c r="Q419" i="1"/>
  <c r="W418" i="1"/>
  <c r="V418" i="1"/>
  <c r="U418" i="1"/>
  <c r="T418" i="1"/>
  <c r="S418" i="1"/>
  <c r="Q418" i="1"/>
  <c r="W417" i="1"/>
  <c r="V417" i="1"/>
  <c r="U417" i="1"/>
  <c r="T417" i="1"/>
  <c r="S417" i="1"/>
  <c r="Q417" i="1"/>
  <c r="W416" i="1"/>
  <c r="V416" i="1"/>
  <c r="U416" i="1"/>
  <c r="T416" i="1"/>
  <c r="S416" i="1"/>
  <c r="Q416" i="1"/>
  <c r="W415" i="1"/>
  <c r="V415" i="1"/>
  <c r="U415" i="1"/>
  <c r="T415" i="1"/>
  <c r="S415" i="1"/>
  <c r="Q415" i="1"/>
  <c r="W414" i="1"/>
  <c r="V414" i="1"/>
  <c r="U414" i="1"/>
  <c r="T414" i="1"/>
  <c r="S414" i="1"/>
  <c r="Q414" i="1"/>
  <c r="W413" i="1"/>
  <c r="V413" i="1"/>
  <c r="U413" i="1"/>
  <c r="T413" i="1"/>
  <c r="S413" i="1"/>
  <c r="Q413" i="1"/>
  <c r="W412" i="1"/>
  <c r="V412" i="1"/>
  <c r="U412" i="1"/>
  <c r="T412" i="1"/>
  <c r="S412" i="1"/>
  <c r="Q412" i="1"/>
  <c r="W411" i="1"/>
  <c r="V411" i="1"/>
  <c r="U411" i="1"/>
  <c r="T411" i="1"/>
  <c r="S411" i="1"/>
  <c r="Q411" i="1"/>
  <c r="W410" i="1"/>
  <c r="V410" i="1"/>
  <c r="U410" i="1"/>
  <c r="T410" i="1"/>
  <c r="S410" i="1"/>
  <c r="Q410" i="1"/>
  <c r="W409" i="1"/>
  <c r="V409" i="1"/>
  <c r="U409" i="1"/>
  <c r="T409" i="1"/>
  <c r="S409" i="1"/>
  <c r="Q409" i="1"/>
  <c r="W408" i="1"/>
  <c r="V408" i="1"/>
  <c r="U408" i="1"/>
  <c r="T408" i="1"/>
  <c r="S408" i="1"/>
  <c r="Q408" i="1"/>
  <c r="W407" i="1"/>
  <c r="V407" i="1"/>
  <c r="U407" i="1"/>
  <c r="T407" i="1"/>
  <c r="S407" i="1"/>
  <c r="Q407" i="1"/>
  <c r="W406" i="1"/>
  <c r="V406" i="1"/>
  <c r="U406" i="1"/>
  <c r="T406" i="1"/>
  <c r="S406" i="1"/>
  <c r="Q406" i="1"/>
  <c r="W405" i="1"/>
  <c r="V405" i="1"/>
  <c r="U405" i="1"/>
  <c r="T405" i="1"/>
  <c r="S405" i="1"/>
  <c r="Q405" i="1"/>
  <c r="W404" i="1"/>
  <c r="V404" i="1"/>
  <c r="U404" i="1"/>
  <c r="T404" i="1"/>
  <c r="S404" i="1"/>
  <c r="Q404" i="1"/>
  <c r="W403" i="1"/>
  <c r="V403" i="1"/>
  <c r="U403" i="1"/>
  <c r="T403" i="1"/>
  <c r="S403" i="1"/>
  <c r="Q403" i="1"/>
  <c r="W402" i="1"/>
  <c r="V402" i="1"/>
  <c r="U402" i="1"/>
  <c r="T402" i="1"/>
  <c r="S402" i="1"/>
  <c r="Q402" i="1"/>
  <c r="W401" i="1"/>
  <c r="V401" i="1"/>
  <c r="U401" i="1"/>
  <c r="T401" i="1"/>
  <c r="S401" i="1"/>
  <c r="Q401" i="1"/>
  <c r="W400" i="1"/>
  <c r="V400" i="1"/>
  <c r="U400" i="1"/>
  <c r="T400" i="1"/>
  <c r="S400" i="1"/>
  <c r="Q400" i="1"/>
  <c r="W399" i="1"/>
  <c r="V399" i="1"/>
  <c r="U399" i="1"/>
  <c r="T399" i="1"/>
  <c r="S399" i="1"/>
  <c r="Q399" i="1"/>
  <c r="W398" i="1"/>
  <c r="V398" i="1"/>
  <c r="U398" i="1"/>
  <c r="T398" i="1"/>
  <c r="S398" i="1"/>
  <c r="Q398" i="1"/>
  <c r="W397" i="1"/>
  <c r="V397" i="1"/>
  <c r="U397" i="1"/>
  <c r="T397" i="1"/>
  <c r="S397" i="1"/>
  <c r="Q397" i="1"/>
  <c r="W396" i="1"/>
  <c r="V396" i="1"/>
  <c r="U396" i="1"/>
  <c r="T396" i="1"/>
  <c r="S396" i="1"/>
  <c r="Q396" i="1"/>
  <c r="W395" i="1"/>
  <c r="V395" i="1"/>
  <c r="U395" i="1"/>
  <c r="T395" i="1"/>
  <c r="S395" i="1"/>
  <c r="Q395" i="1"/>
  <c r="W394" i="1"/>
  <c r="V394" i="1"/>
  <c r="U394" i="1"/>
  <c r="T394" i="1"/>
  <c r="S394" i="1"/>
  <c r="Q394" i="1"/>
  <c r="W393" i="1"/>
  <c r="V393" i="1"/>
  <c r="U393" i="1"/>
  <c r="T393" i="1"/>
  <c r="S393" i="1"/>
  <c r="Q393" i="1"/>
  <c r="W392" i="1"/>
  <c r="V392" i="1"/>
  <c r="U392" i="1"/>
  <c r="T392" i="1"/>
  <c r="S392" i="1"/>
  <c r="Q392" i="1"/>
  <c r="W391" i="1"/>
  <c r="V391" i="1"/>
  <c r="U391" i="1"/>
  <c r="T391" i="1"/>
  <c r="S391" i="1"/>
  <c r="Q391" i="1"/>
  <c r="W390" i="1"/>
  <c r="V390" i="1"/>
  <c r="U390" i="1"/>
  <c r="T390" i="1"/>
  <c r="S390" i="1"/>
  <c r="Q390" i="1"/>
  <c r="W389" i="1"/>
  <c r="V389" i="1"/>
  <c r="U389" i="1"/>
  <c r="T389" i="1"/>
  <c r="S389" i="1"/>
  <c r="Q389" i="1"/>
  <c r="W388" i="1"/>
  <c r="V388" i="1"/>
  <c r="U388" i="1"/>
  <c r="T388" i="1"/>
  <c r="S388" i="1"/>
  <c r="Q388" i="1"/>
  <c r="W387" i="1"/>
  <c r="V387" i="1"/>
  <c r="U387" i="1"/>
  <c r="T387" i="1"/>
  <c r="S387" i="1"/>
  <c r="Q387" i="1"/>
  <c r="W386" i="1"/>
  <c r="V386" i="1"/>
  <c r="U386" i="1"/>
  <c r="T386" i="1"/>
  <c r="S386" i="1"/>
  <c r="Q386" i="1"/>
  <c r="W385" i="1"/>
  <c r="V385" i="1"/>
  <c r="U385" i="1"/>
  <c r="T385" i="1"/>
  <c r="S385" i="1"/>
  <c r="Q385" i="1"/>
  <c r="W384" i="1"/>
  <c r="V384" i="1"/>
  <c r="U384" i="1"/>
  <c r="T384" i="1"/>
  <c r="S384" i="1"/>
  <c r="Q384" i="1"/>
  <c r="W383" i="1"/>
  <c r="V383" i="1"/>
  <c r="U383" i="1"/>
  <c r="T383" i="1"/>
  <c r="S383" i="1"/>
  <c r="Q383" i="1"/>
  <c r="W382" i="1"/>
  <c r="V382" i="1"/>
  <c r="U382" i="1"/>
  <c r="T382" i="1"/>
  <c r="S382" i="1"/>
  <c r="Q382" i="1"/>
  <c r="W381" i="1"/>
  <c r="V381" i="1"/>
  <c r="U381" i="1"/>
  <c r="T381" i="1"/>
  <c r="S381" i="1"/>
  <c r="Q381" i="1"/>
  <c r="W380" i="1"/>
  <c r="V380" i="1"/>
  <c r="U380" i="1"/>
  <c r="T380" i="1"/>
  <c r="S380" i="1"/>
  <c r="Q380" i="1"/>
  <c r="W379" i="1"/>
  <c r="V379" i="1"/>
  <c r="U379" i="1"/>
  <c r="T379" i="1"/>
  <c r="S379" i="1"/>
  <c r="Q379" i="1"/>
  <c r="W378" i="1"/>
  <c r="V378" i="1"/>
  <c r="U378" i="1"/>
  <c r="T378" i="1"/>
  <c r="S378" i="1"/>
  <c r="Q378" i="1"/>
  <c r="W377" i="1"/>
  <c r="V377" i="1"/>
  <c r="U377" i="1"/>
  <c r="T377" i="1"/>
  <c r="S377" i="1"/>
  <c r="Q377" i="1"/>
  <c r="W376" i="1"/>
  <c r="V376" i="1"/>
  <c r="U376" i="1"/>
  <c r="T376" i="1"/>
  <c r="S376" i="1"/>
  <c r="Q376" i="1"/>
  <c r="W375" i="1"/>
  <c r="V375" i="1"/>
  <c r="U375" i="1"/>
  <c r="T375" i="1"/>
  <c r="S375" i="1"/>
  <c r="Q375" i="1"/>
  <c r="W374" i="1"/>
  <c r="V374" i="1"/>
  <c r="U374" i="1"/>
  <c r="T374" i="1"/>
  <c r="S374" i="1"/>
  <c r="Q374" i="1"/>
  <c r="W373" i="1"/>
  <c r="V373" i="1"/>
  <c r="U373" i="1"/>
  <c r="T373" i="1"/>
  <c r="S373" i="1"/>
  <c r="Q373" i="1"/>
  <c r="W372" i="1"/>
  <c r="V372" i="1"/>
  <c r="U372" i="1"/>
  <c r="T372" i="1"/>
  <c r="S372" i="1"/>
  <c r="Q372" i="1"/>
  <c r="W371" i="1"/>
  <c r="V371" i="1"/>
  <c r="U371" i="1"/>
  <c r="T371" i="1"/>
  <c r="S371" i="1"/>
  <c r="Q371" i="1"/>
  <c r="W370" i="1"/>
  <c r="V370" i="1"/>
  <c r="U370" i="1"/>
  <c r="T370" i="1"/>
  <c r="S370" i="1"/>
  <c r="Q370" i="1"/>
  <c r="W369" i="1"/>
  <c r="V369" i="1"/>
  <c r="U369" i="1"/>
  <c r="T369" i="1"/>
  <c r="S369" i="1"/>
  <c r="Q369" i="1"/>
  <c r="W368" i="1"/>
  <c r="V368" i="1"/>
  <c r="U368" i="1"/>
  <c r="T368" i="1"/>
  <c r="S368" i="1"/>
  <c r="Q368" i="1"/>
  <c r="W367" i="1"/>
  <c r="V367" i="1"/>
  <c r="U367" i="1"/>
  <c r="T367" i="1"/>
  <c r="S367" i="1"/>
  <c r="Q367" i="1"/>
  <c r="W366" i="1"/>
  <c r="V366" i="1"/>
  <c r="U366" i="1"/>
  <c r="T366" i="1"/>
  <c r="S366" i="1"/>
  <c r="Q366" i="1"/>
  <c r="W365" i="1"/>
  <c r="V365" i="1"/>
  <c r="U365" i="1"/>
  <c r="T365" i="1"/>
  <c r="S365" i="1"/>
  <c r="Q365" i="1"/>
  <c r="W364" i="1"/>
  <c r="V364" i="1"/>
  <c r="U364" i="1"/>
  <c r="T364" i="1"/>
  <c r="S364" i="1"/>
  <c r="Q364" i="1"/>
  <c r="W363" i="1"/>
  <c r="V363" i="1"/>
  <c r="U363" i="1"/>
  <c r="T363" i="1"/>
  <c r="S363" i="1"/>
  <c r="Q363" i="1"/>
  <c r="W362" i="1"/>
  <c r="V362" i="1"/>
  <c r="U362" i="1"/>
  <c r="T362" i="1"/>
  <c r="S362" i="1"/>
  <c r="Q362" i="1"/>
  <c r="W361" i="1"/>
  <c r="V361" i="1"/>
  <c r="U361" i="1"/>
  <c r="T361" i="1"/>
  <c r="S361" i="1"/>
  <c r="Q361" i="1"/>
  <c r="W360" i="1"/>
  <c r="V360" i="1"/>
  <c r="U360" i="1"/>
  <c r="T360" i="1"/>
  <c r="S360" i="1"/>
  <c r="Q360" i="1"/>
  <c r="W359" i="1"/>
  <c r="V359" i="1"/>
  <c r="U359" i="1"/>
  <c r="T359" i="1"/>
  <c r="S359" i="1"/>
  <c r="Q359" i="1"/>
  <c r="W358" i="1"/>
  <c r="V358" i="1"/>
  <c r="U358" i="1"/>
  <c r="T358" i="1"/>
  <c r="S358" i="1"/>
  <c r="Q358" i="1"/>
  <c r="W357" i="1"/>
  <c r="V357" i="1"/>
  <c r="U357" i="1"/>
  <c r="T357" i="1"/>
  <c r="S357" i="1"/>
  <c r="Q357" i="1"/>
  <c r="W356" i="1"/>
  <c r="V356" i="1"/>
  <c r="U356" i="1"/>
  <c r="T356" i="1"/>
  <c r="S356" i="1"/>
  <c r="Q356" i="1"/>
  <c r="W355" i="1"/>
  <c r="V355" i="1"/>
  <c r="U355" i="1"/>
  <c r="T355" i="1"/>
  <c r="S355" i="1"/>
  <c r="Q355" i="1"/>
  <c r="W354" i="1"/>
  <c r="V354" i="1"/>
  <c r="U354" i="1"/>
  <c r="T354" i="1"/>
  <c r="S354" i="1"/>
  <c r="Q354" i="1"/>
  <c r="W353" i="1"/>
  <c r="V353" i="1"/>
  <c r="U353" i="1"/>
  <c r="T353" i="1"/>
  <c r="S353" i="1"/>
  <c r="Q353" i="1"/>
  <c r="W352" i="1"/>
  <c r="V352" i="1"/>
  <c r="U352" i="1"/>
  <c r="T352" i="1"/>
  <c r="S352" i="1"/>
  <c r="Q352" i="1"/>
  <c r="W351" i="1"/>
  <c r="V351" i="1"/>
  <c r="U351" i="1"/>
  <c r="T351" i="1"/>
  <c r="S351" i="1"/>
  <c r="Q351" i="1"/>
  <c r="W350" i="1"/>
  <c r="V350" i="1"/>
  <c r="U350" i="1"/>
  <c r="T350" i="1"/>
  <c r="S350" i="1"/>
  <c r="Q350" i="1"/>
  <c r="W349" i="1"/>
  <c r="V349" i="1"/>
  <c r="U349" i="1"/>
  <c r="T349" i="1"/>
  <c r="S349" i="1"/>
  <c r="Q349" i="1"/>
  <c r="W348" i="1"/>
  <c r="V348" i="1"/>
  <c r="U348" i="1"/>
  <c r="T348" i="1"/>
  <c r="S348" i="1"/>
  <c r="Q348" i="1"/>
  <c r="W347" i="1"/>
  <c r="V347" i="1"/>
  <c r="U347" i="1"/>
  <c r="T347" i="1"/>
  <c r="S347" i="1"/>
  <c r="Q347" i="1"/>
  <c r="W346" i="1"/>
  <c r="V346" i="1"/>
  <c r="U346" i="1"/>
  <c r="T346" i="1"/>
  <c r="S346" i="1"/>
  <c r="Q346" i="1"/>
  <c r="W345" i="1"/>
  <c r="V345" i="1"/>
  <c r="U345" i="1"/>
  <c r="T345" i="1"/>
  <c r="S345" i="1"/>
  <c r="Q345" i="1"/>
  <c r="W344" i="1"/>
  <c r="V344" i="1"/>
  <c r="U344" i="1"/>
  <c r="T344" i="1"/>
  <c r="S344" i="1"/>
  <c r="Q344" i="1"/>
  <c r="W343" i="1"/>
  <c r="V343" i="1"/>
  <c r="U343" i="1"/>
  <c r="T343" i="1"/>
  <c r="S343" i="1"/>
  <c r="Q343" i="1"/>
  <c r="W342" i="1"/>
  <c r="V342" i="1"/>
  <c r="U342" i="1"/>
  <c r="T342" i="1"/>
  <c r="S342" i="1"/>
  <c r="Q342" i="1"/>
  <c r="W341" i="1"/>
  <c r="V341" i="1"/>
  <c r="U341" i="1"/>
  <c r="T341" i="1"/>
  <c r="S341" i="1"/>
  <c r="Q341" i="1"/>
  <c r="W340" i="1"/>
  <c r="V340" i="1"/>
  <c r="U340" i="1"/>
  <c r="T340" i="1"/>
  <c r="S340" i="1"/>
  <c r="Q340" i="1"/>
  <c r="W339" i="1"/>
  <c r="V339" i="1"/>
  <c r="U339" i="1"/>
  <c r="T339" i="1"/>
  <c r="S339" i="1"/>
  <c r="Q339" i="1"/>
  <c r="W338" i="1"/>
  <c r="V338" i="1"/>
  <c r="U338" i="1"/>
  <c r="T338" i="1"/>
  <c r="S338" i="1"/>
  <c r="Q338" i="1"/>
  <c r="W337" i="1"/>
  <c r="V337" i="1"/>
  <c r="U337" i="1"/>
  <c r="T337" i="1"/>
  <c r="S337" i="1"/>
  <c r="Q337" i="1"/>
  <c r="W336" i="1"/>
  <c r="V336" i="1"/>
  <c r="U336" i="1"/>
  <c r="T336" i="1"/>
  <c r="S336" i="1"/>
  <c r="Q336" i="1"/>
  <c r="W335" i="1"/>
  <c r="V335" i="1"/>
  <c r="U335" i="1"/>
  <c r="T335" i="1"/>
  <c r="S335" i="1"/>
  <c r="Q335" i="1"/>
  <c r="W334" i="1"/>
  <c r="V334" i="1"/>
  <c r="U334" i="1"/>
  <c r="T334" i="1"/>
  <c r="S334" i="1"/>
  <c r="Q334" i="1"/>
  <c r="W333" i="1"/>
  <c r="V333" i="1"/>
  <c r="U333" i="1"/>
  <c r="T333" i="1"/>
  <c r="S333" i="1"/>
  <c r="Q333" i="1"/>
  <c r="W332" i="1"/>
  <c r="V332" i="1"/>
  <c r="U332" i="1"/>
  <c r="T332" i="1"/>
  <c r="S332" i="1"/>
  <c r="Q332" i="1"/>
  <c r="W331" i="1"/>
  <c r="V331" i="1"/>
  <c r="U331" i="1"/>
  <c r="T331" i="1"/>
  <c r="S331" i="1"/>
  <c r="Q331" i="1"/>
  <c r="W330" i="1"/>
  <c r="V330" i="1"/>
  <c r="U330" i="1"/>
  <c r="T330" i="1"/>
  <c r="S330" i="1"/>
  <c r="Q330" i="1"/>
  <c r="W329" i="1"/>
  <c r="V329" i="1"/>
  <c r="U329" i="1"/>
  <c r="T329" i="1"/>
  <c r="S329" i="1"/>
  <c r="Q329" i="1"/>
  <c r="W328" i="1"/>
  <c r="V328" i="1"/>
  <c r="U328" i="1"/>
  <c r="T328" i="1"/>
  <c r="S328" i="1"/>
  <c r="Q328" i="1"/>
  <c r="W327" i="1"/>
  <c r="V327" i="1"/>
  <c r="U327" i="1"/>
  <c r="T327" i="1"/>
  <c r="S327" i="1"/>
  <c r="Q327" i="1"/>
  <c r="W326" i="1"/>
  <c r="V326" i="1"/>
  <c r="U326" i="1"/>
  <c r="T326" i="1"/>
  <c r="S326" i="1"/>
  <c r="Q326" i="1"/>
  <c r="W325" i="1"/>
  <c r="V325" i="1"/>
  <c r="U325" i="1"/>
  <c r="T325" i="1"/>
  <c r="S325" i="1"/>
  <c r="Q325" i="1"/>
  <c r="W324" i="1"/>
  <c r="V324" i="1"/>
  <c r="U324" i="1"/>
  <c r="T324" i="1"/>
  <c r="S324" i="1"/>
  <c r="Q324" i="1"/>
  <c r="W323" i="1"/>
  <c r="V323" i="1"/>
  <c r="U323" i="1"/>
  <c r="T323" i="1"/>
  <c r="S323" i="1"/>
  <c r="Q323" i="1"/>
  <c r="W322" i="1"/>
  <c r="V322" i="1"/>
  <c r="U322" i="1"/>
  <c r="T322" i="1"/>
  <c r="S322" i="1"/>
  <c r="Q322" i="1"/>
  <c r="W321" i="1"/>
  <c r="V321" i="1"/>
  <c r="U321" i="1"/>
  <c r="T321" i="1"/>
  <c r="S321" i="1"/>
  <c r="Q321" i="1"/>
  <c r="W320" i="1"/>
  <c r="V320" i="1"/>
  <c r="U320" i="1"/>
  <c r="T320" i="1"/>
  <c r="S320" i="1"/>
  <c r="Q320" i="1"/>
  <c r="W319" i="1"/>
  <c r="V319" i="1"/>
  <c r="U319" i="1"/>
  <c r="T319" i="1"/>
  <c r="S319" i="1"/>
  <c r="Q319" i="1"/>
  <c r="W318" i="1"/>
  <c r="V318" i="1"/>
  <c r="U318" i="1"/>
  <c r="T318" i="1"/>
  <c r="S318" i="1"/>
  <c r="Q318" i="1"/>
  <c r="W317" i="1"/>
  <c r="V317" i="1"/>
  <c r="U317" i="1"/>
  <c r="T317" i="1"/>
  <c r="S317" i="1"/>
  <c r="Q317" i="1"/>
  <c r="W316" i="1"/>
  <c r="V316" i="1"/>
  <c r="U316" i="1"/>
  <c r="T316" i="1"/>
  <c r="S316" i="1"/>
  <c r="Q316" i="1"/>
  <c r="W315" i="1"/>
  <c r="V315" i="1"/>
  <c r="U315" i="1"/>
  <c r="T315" i="1"/>
  <c r="S315" i="1"/>
  <c r="Q315" i="1"/>
  <c r="W314" i="1"/>
  <c r="V314" i="1"/>
  <c r="U314" i="1"/>
  <c r="T314" i="1"/>
  <c r="S314" i="1"/>
  <c r="Q314" i="1"/>
  <c r="W313" i="1"/>
  <c r="V313" i="1"/>
  <c r="U313" i="1"/>
  <c r="T313" i="1"/>
  <c r="S313" i="1"/>
  <c r="Q313" i="1"/>
  <c r="W312" i="1"/>
  <c r="V312" i="1"/>
  <c r="U312" i="1"/>
  <c r="T312" i="1"/>
  <c r="S312" i="1"/>
  <c r="Q312" i="1"/>
  <c r="W311" i="1"/>
  <c r="V311" i="1"/>
  <c r="U311" i="1"/>
  <c r="T311" i="1"/>
  <c r="S311" i="1"/>
  <c r="Q311" i="1"/>
  <c r="W310" i="1"/>
  <c r="V310" i="1"/>
  <c r="U310" i="1"/>
  <c r="T310" i="1"/>
  <c r="S310" i="1"/>
  <c r="Q310" i="1"/>
  <c r="W309" i="1"/>
  <c r="V309" i="1"/>
  <c r="U309" i="1"/>
  <c r="T309" i="1"/>
  <c r="S309" i="1"/>
  <c r="Q309" i="1"/>
  <c r="W308" i="1"/>
  <c r="V308" i="1"/>
  <c r="U308" i="1"/>
  <c r="T308" i="1"/>
  <c r="S308" i="1"/>
  <c r="Q308" i="1"/>
  <c r="W307" i="1"/>
  <c r="V307" i="1"/>
  <c r="U307" i="1"/>
  <c r="T307" i="1"/>
  <c r="S307" i="1"/>
  <c r="Q307" i="1"/>
  <c r="N109" i="11" a="1"/>
  <c r="N109" i="11"/>
  <c r="N110" i="11" s="1"/>
  <c r="K109" i="11" a="1"/>
  <c r="K109" i="11" s="1"/>
  <c r="K110" i="11" s="1"/>
  <c r="H109" i="11" a="1"/>
  <c r="H109" i="11" s="1"/>
  <c r="H110" i="11" s="1"/>
  <c r="E109" i="11" a="1"/>
  <c r="E109" i="11" s="1"/>
  <c r="N106" i="11" a="1"/>
  <c r="N106" i="11" s="1"/>
  <c r="N107" i="11" s="1"/>
  <c r="K106" i="11" a="1"/>
  <c r="K106" i="11" s="1"/>
  <c r="K107" i="11" s="1"/>
  <c r="H106" i="11" a="1"/>
  <c r="H106" i="11" s="1"/>
  <c r="H107" i="11" s="1"/>
  <c r="E106" i="11" a="1"/>
  <c r="E106" i="11" s="1"/>
  <c r="N102" i="11" a="1"/>
  <c r="N102" i="11" s="1"/>
  <c r="K102" i="11" a="1"/>
  <c r="K102" i="11" s="1"/>
  <c r="K103" i="11" s="1"/>
  <c r="H102" i="11" a="1"/>
  <c r="H102" i="11" s="1"/>
  <c r="E102" i="11" a="1"/>
  <c r="E102" i="11" s="1"/>
  <c r="E108" i="25" s="1"/>
  <c r="N94" i="11" a="1"/>
  <c r="N94" i="11" s="1"/>
  <c r="N93" i="11" a="1"/>
  <c r="N93" i="11" s="1"/>
  <c r="N92" i="11" a="1"/>
  <c r="N92" i="11" s="1"/>
  <c r="N91" i="11" a="1"/>
  <c r="N91" i="11" s="1"/>
  <c r="K94" i="11" a="1"/>
  <c r="K94" i="11" s="1"/>
  <c r="K93" i="11" a="1"/>
  <c r="K93" i="11" s="1"/>
  <c r="K92" i="11" a="1"/>
  <c r="K92" i="11" s="1"/>
  <c r="K91" i="11" a="1"/>
  <c r="K91" i="11" s="1"/>
  <c r="H94" i="11" a="1"/>
  <c r="H94" i="11" s="1"/>
  <c r="H93" i="11" a="1"/>
  <c r="H93" i="11" s="1"/>
  <c r="H92" i="11" a="1"/>
  <c r="H92" i="11" s="1"/>
  <c r="H91" i="11" a="1"/>
  <c r="H91" i="11" s="1"/>
  <c r="E94" i="11" a="1"/>
  <c r="E94" i="11" s="1"/>
  <c r="E93" i="11" a="1"/>
  <c r="E93" i="11" s="1"/>
  <c r="E99" i="25" s="1"/>
  <c r="E92" i="11" a="1"/>
  <c r="E92" i="11" s="1"/>
  <c r="E98" i="25" s="1"/>
  <c r="E91" i="11" a="1"/>
  <c r="E91" i="11" s="1"/>
  <c r="E97" i="25" s="1"/>
  <c r="N90" i="11" a="1"/>
  <c r="N90" i="11" s="1"/>
  <c r="K90" i="11" a="1"/>
  <c r="K90" i="11" s="1"/>
  <c r="H90" i="11" a="1"/>
  <c r="H90" i="11" s="1"/>
  <c r="E90" i="11" a="1"/>
  <c r="E90" i="11" s="1"/>
  <c r="N87" i="11" a="1"/>
  <c r="N87" i="11" s="1"/>
  <c r="N86" i="11" a="1"/>
  <c r="N86" i="11" s="1"/>
  <c r="N85" i="11" a="1"/>
  <c r="N85" i="11" s="1"/>
  <c r="N84" i="11" a="1"/>
  <c r="N84" i="11" s="1"/>
  <c r="N83" i="11" a="1"/>
  <c r="N83" i="11" s="1"/>
  <c r="N82" i="11" a="1"/>
  <c r="N82" i="11" s="1"/>
  <c r="N81" i="11" a="1"/>
  <c r="N81" i="11" s="1"/>
  <c r="N80" i="11" a="1"/>
  <c r="N80" i="11" s="1"/>
  <c r="K87" i="11" a="1"/>
  <c r="K87" i="11" s="1"/>
  <c r="K86" i="11" a="1"/>
  <c r="K86" i="11" s="1"/>
  <c r="K85" i="11" a="1"/>
  <c r="K85" i="11" s="1"/>
  <c r="K84" i="11" a="1"/>
  <c r="K84" i="11" s="1"/>
  <c r="K83" i="11" a="1"/>
  <c r="K83" i="11" s="1"/>
  <c r="K82" i="11" a="1"/>
  <c r="K82" i="11"/>
  <c r="K81" i="11" a="1"/>
  <c r="K81" i="11" s="1"/>
  <c r="K80" i="11" a="1"/>
  <c r="K80" i="11" s="1"/>
  <c r="H87" i="11" a="1"/>
  <c r="H87" i="11" s="1"/>
  <c r="H86" i="11" a="1"/>
  <c r="H86" i="11" s="1"/>
  <c r="H85" i="11" a="1"/>
  <c r="H85" i="11" s="1"/>
  <c r="H84" i="11" a="1"/>
  <c r="H84" i="11" s="1"/>
  <c r="H83" i="11" a="1"/>
  <c r="H83" i="11" s="1"/>
  <c r="H82" i="11" a="1"/>
  <c r="H82" i="11" s="1"/>
  <c r="H81" i="11" a="1"/>
  <c r="H81" i="11" s="1"/>
  <c r="H80" i="11" a="1"/>
  <c r="H80" i="11" s="1"/>
  <c r="E87" i="11" a="1"/>
  <c r="E87" i="11" s="1"/>
  <c r="E93" i="25" s="1"/>
  <c r="F93" i="25" s="1"/>
  <c r="E86" i="11" a="1"/>
  <c r="E86" i="11" s="1"/>
  <c r="E85" i="11" a="1"/>
  <c r="E85" i="11" s="1"/>
  <c r="E91" i="25" s="1"/>
  <c r="F91" i="25" s="1"/>
  <c r="E84" i="11" a="1"/>
  <c r="E84" i="11" s="1"/>
  <c r="E83" i="11" a="1"/>
  <c r="E83" i="11" s="1"/>
  <c r="E89" i="25" s="1"/>
  <c r="F89" i="25" s="1"/>
  <c r="E82" i="11" a="1"/>
  <c r="E82" i="11" s="1"/>
  <c r="E88" i="25" s="1"/>
  <c r="F88" i="25" s="1"/>
  <c r="E81" i="11" a="1"/>
  <c r="E81" i="11" s="1"/>
  <c r="E87" i="25" s="1"/>
  <c r="F87" i="25" s="1"/>
  <c r="E80" i="11" a="1"/>
  <c r="E80" i="11" s="1"/>
  <c r="N79" i="11" a="1"/>
  <c r="N79" i="11" s="1"/>
  <c r="K79" i="11" a="1"/>
  <c r="K79" i="11" s="1"/>
  <c r="H79" i="11" a="1"/>
  <c r="H79" i="11" s="1"/>
  <c r="E79" i="11" a="1"/>
  <c r="E79" i="11" s="1"/>
  <c r="E76" i="11" a="1"/>
  <c r="E76" i="11" s="1"/>
  <c r="E82" i="25" s="1"/>
  <c r="E75" i="11" a="1"/>
  <c r="E75" i="11" s="1"/>
  <c r="E81" i="25" s="1"/>
  <c r="E74" i="11" a="1"/>
  <c r="E74" i="11" s="1"/>
  <c r="E80" i="25" s="1"/>
  <c r="H76" i="11" a="1"/>
  <c r="H76" i="11" s="1"/>
  <c r="H75" i="11" a="1"/>
  <c r="H75" i="11"/>
  <c r="H74" i="11" a="1"/>
  <c r="H74" i="11" s="1"/>
  <c r="K76" i="11" a="1"/>
  <c r="K76" i="11" s="1"/>
  <c r="K75" i="11" a="1"/>
  <c r="K75" i="11" s="1"/>
  <c r="K74" i="11" a="1"/>
  <c r="K74" i="11" s="1"/>
  <c r="N76" i="11" a="1"/>
  <c r="N76" i="11" s="1"/>
  <c r="N75" i="11" a="1"/>
  <c r="N75" i="11" s="1"/>
  <c r="N74" i="11" a="1"/>
  <c r="N74" i="11" s="1"/>
  <c r="N73" i="11" a="1"/>
  <c r="N73" i="11" s="1"/>
  <c r="K73" i="11" a="1"/>
  <c r="K73" i="11" s="1"/>
  <c r="H73" i="11" a="1"/>
  <c r="H73" i="11" s="1"/>
  <c r="E73" i="11" a="1"/>
  <c r="E73" i="11" s="1"/>
  <c r="E79" i="25" s="1"/>
  <c r="N70" i="11" a="1"/>
  <c r="N70" i="11" s="1"/>
  <c r="N69" i="11" a="1"/>
  <c r="N69" i="11" s="1"/>
  <c r="N68" i="11" a="1"/>
  <c r="N68" i="11" s="1"/>
  <c r="N67" i="11" a="1"/>
  <c r="N67" i="11" s="1"/>
  <c r="N66" i="11" a="1"/>
  <c r="N66" i="11" s="1"/>
  <c r="K70" i="11" a="1"/>
  <c r="K70" i="11" s="1"/>
  <c r="K69" i="11" a="1"/>
  <c r="K69" i="11" s="1"/>
  <c r="K68" i="11" a="1"/>
  <c r="K68" i="11" s="1"/>
  <c r="K67" i="11" a="1"/>
  <c r="K67" i="11" s="1"/>
  <c r="K66" i="11" a="1"/>
  <c r="K66" i="11" s="1"/>
  <c r="H70" i="11" a="1"/>
  <c r="H70" i="11" s="1"/>
  <c r="H69" i="11" a="1"/>
  <c r="H69" i="11" s="1"/>
  <c r="H68" i="11" a="1"/>
  <c r="H68" i="11" s="1"/>
  <c r="H67" i="11" a="1"/>
  <c r="H67" i="11" s="1"/>
  <c r="H66" i="11" a="1"/>
  <c r="H66" i="11" s="1"/>
  <c r="E70" i="11" a="1"/>
  <c r="E70" i="11" s="1"/>
  <c r="E68" i="11" a="1"/>
  <c r="E68" i="11" s="1"/>
  <c r="E67" i="11" a="1"/>
  <c r="E67" i="11" s="1"/>
  <c r="E66" i="11" a="1"/>
  <c r="E66" i="11" s="1"/>
  <c r="E72" i="25" s="1"/>
  <c r="N59" i="11" a="1"/>
  <c r="N59" i="11" s="1"/>
  <c r="N58" i="11" a="1"/>
  <c r="N58" i="11" s="1"/>
  <c r="N57" i="11" a="1"/>
  <c r="N57" i="11" s="1"/>
  <c r="N56" i="11" a="1"/>
  <c r="N56" i="11" s="1"/>
  <c r="N55" i="11" a="1"/>
  <c r="N55" i="11" s="1"/>
  <c r="K59" i="11" a="1"/>
  <c r="K59" i="11" s="1"/>
  <c r="K58" i="11" a="1"/>
  <c r="K58" i="11" s="1"/>
  <c r="K57" i="11" a="1"/>
  <c r="K57" i="11" s="1"/>
  <c r="K56" i="11" a="1"/>
  <c r="K56" i="11" s="1"/>
  <c r="K55" i="11" a="1"/>
  <c r="K55" i="11" s="1"/>
  <c r="H59" i="11" a="1"/>
  <c r="H59" i="11" s="1"/>
  <c r="H58" i="11" a="1"/>
  <c r="H58" i="11" s="1"/>
  <c r="H57" i="11" a="1"/>
  <c r="H57" i="11" s="1"/>
  <c r="H56" i="11" a="1"/>
  <c r="H56" i="11" s="1"/>
  <c r="H55" i="11" a="1"/>
  <c r="H55" i="11" s="1"/>
  <c r="E59" i="11" a="1"/>
  <c r="E59" i="11" s="1"/>
  <c r="E65" i="25" s="1"/>
  <c r="E58" i="11" a="1"/>
  <c r="E58" i="11" s="1"/>
  <c r="E64" i="25" s="1"/>
  <c r="E57" i="11" a="1"/>
  <c r="E57" i="11" s="1"/>
  <c r="E63" i="25" s="1"/>
  <c r="E56" i="11" a="1"/>
  <c r="E56" i="11" s="1"/>
  <c r="E62" i="25" s="1"/>
  <c r="E55" i="11" a="1"/>
  <c r="E55" i="11" s="1"/>
  <c r="E61" i="25" s="1"/>
  <c r="N54" i="11" a="1"/>
  <c r="N54" i="11" s="1"/>
  <c r="K54" i="11" a="1"/>
  <c r="K54" i="11" s="1"/>
  <c r="H54" i="11" a="1"/>
  <c r="H54" i="11" s="1"/>
  <c r="E54" i="11" a="1"/>
  <c r="E54" i="11" s="1"/>
  <c r="E60" i="25" s="1"/>
  <c r="O432" i="1"/>
  <c r="N432" i="1"/>
  <c r="M432" i="1"/>
  <c r="L432" i="1"/>
  <c r="K432" i="1"/>
  <c r="J432" i="1"/>
  <c r="I432" i="1"/>
  <c r="H432" i="1"/>
  <c r="G432" i="1"/>
  <c r="F432" i="1"/>
  <c r="E432" i="1"/>
  <c r="D432" i="1"/>
  <c r="H47" i="11" a="1"/>
  <c r="H47" i="11" s="1"/>
  <c r="H40" i="11" a="1"/>
  <c r="H40" i="11" s="1"/>
  <c r="H38" i="11" a="1"/>
  <c r="H38" i="11" s="1"/>
  <c r="H37" i="11" a="1"/>
  <c r="H37" i="11" s="1"/>
  <c r="H36" i="11" a="1"/>
  <c r="H36" i="11" s="1"/>
  <c r="H35" i="11" a="1"/>
  <c r="H35" i="11" s="1"/>
  <c r="H34" i="11" a="1"/>
  <c r="H34" i="11" s="1"/>
  <c r="H33" i="11" a="1"/>
  <c r="H33" i="11" s="1"/>
  <c r="H32" i="11" a="1"/>
  <c r="H32" i="11" s="1"/>
  <c r="H31" i="11" a="1"/>
  <c r="H31" i="11" s="1"/>
  <c r="H30" i="11" a="1"/>
  <c r="H30" i="11" s="1"/>
  <c r="H29" i="11" a="1"/>
  <c r="H29" i="11" s="1"/>
  <c r="H28" i="11" a="1"/>
  <c r="H28" i="11"/>
  <c r="H27" i="11" a="1"/>
  <c r="H27" i="11" s="1"/>
  <c r="H26" i="11" a="1"/>
  <c r="H26" i="11" s="1"/>
  <c r="H25" i="11" a="1"/>
  <c r="H25" i="11" s="1"/>
  <c r="H24" i="11" a="1"/>
  <c r="H24" i="11" s="1"/>
  <c r="K47" i="11" a="1"/>
  <c r="K47" i="11" s="1"/>
  <c r="K40" i="11" a="1"/>
  <c r="K40" i="11" s="1"/>
  <c r="K38" i="11" a="1"/>
  <c r="K38" i="11" s="1"/>
  <c r="K37" i="11" a="1"/>
  <c r="K37" i="11" s="1"/>
  <c r="K36" i="11" a="1"/>
  <c r="K36" i="11" s="1"/>
  <c r="K35" i="11" a="1"/>
  <c r="K35" i="11" s="1"/>
  <c r="K34" i="11" a="1"/>
  <c r="K34" i="11" s="1"/>
  <c r="K33" i="11" a="1"/>
  <c r="K33" i="11" s="1"/>
  <c r="K32" i="11" a="1"/>
  <c r="K32" i="11" s="1"/>
  <c r="K31" i="11" a="1"/>
  <c r="K31" i="11" s="1"/>
  <c r="K30" i="11" a="1"/>
  <c r="K30" i="11" s="1"/>
  <c r="K29" i="11" a="1"/>
  <c r="K29" i="11" s="1"/>
  <c r="K28" i="11" a="1"/>
  <c r="K28" i="11" s="1"/>
  <c r="K27" i="11" a="1"/>
  <c r="K27" i="11" s="1"/>
  <c r="K26" i="11" a="1"/>
  <c r="K26" i="11" s="1"/>
  <c r="K25" i="11" a="1"/>
  <c r="K25" i="11" s="1"/>
  <c r="K24" i="11" a="1"/>
  <c r="K24" i="11" s="1"/>
  <c r="N47" i="11" a="1"/>
  <c r="N47" i="11" s="1"/>
  <c r="N40" i="11" a="1"/>
  <c r="N40" i="11" s="1"/>
  <c r="N38" i="11" a="1"/>
  <c r="N38" i="11" s="1"/>
  <c r="N37" i="11" a="1"/>
  <c r="N37" i="11" s="1"/>
  <c r="N36" i="11" a="1"/>
  <c r="N36" i="11" s="1"/>
  <c r="N35" i="11" a="1"/>
  <c r="N35" i="11" s="1"/>
  <c r="N34" i="11" a="1"/>
  <c r="N34" i="11" s="1"/>
  <c r="N33" i="11" a="1"/>
  <c r="N33" i="11" s="1"/>
  <c r="N32" i="11" a="1"/>
  <c r="N32" i="11" s="1"/>
  <c r="N31" i="11" a="1"/>
  <c r="N31" i="11" s="1"/>
  <c r="N30" i="11" a="1"/>
  <c r="N30" i="11" s="1"/>
  <c r="N29" i="11" a="1"/>
  <c r="N29" i="11" s="1"/>
  <c r="N28" i="11" a="1"/>
  <c r="N28" i="11" s="1"/>
  <c r="N27" i="11" a="1"/>
  <c r="N27" i="11" s="1"/>
  <c r="N26" i="11" a="1"/>
  <c r="N26" i="11" s="1"/>
  <c r="N25" i="11" a="1"/>
  <c r="N25" i="11" s="1"/>
  <c r="N24" i="11" a="1"/>
  <c r="N24" i="11" s="1"/>
  <c r="N23" i="11" a="1"/>
  <c r="N23" i="11" s="1"/>
  <c r="K23" i="11" a="1"/>
  <c r="K23" i="11" s="1"/>
  <c r="H23" i="11" a="1"/>
  <c r="H23" i="11" s="1"/>
  <c r="H49" i="19" a="1"/>
  <c r="H49" i="19" s="1"/>
  <c r="H50" i="19" a="1"/>
  <c r="H50" i="19" s="1"/>
  <c r="H51" i="19" a="1"/>
  <c r="H51" i="19" s="1"/>
  <c r="H52" i="19" a="1"/>
  <c r="H52" i="19" s="1"/>
  <c r="H48" i="19" a="1"/>
  <c r="H48" i="19" s="1"/>
  <c r="M70" i="19"/>
  <c r="H24" i="19" a="1"/>
  <c r="H24" i="19"/>
  <c r="H25" i="19" a="1"/>
  <c r="H25" i="19" s="1"/>
  <c r="H26" i="19" a="1"/>
  <c r="H26" i="19" s="1"/>
  <c r="H27" i="19" a="1"/>
  <c r="H27" i="19" s="1"/>
  <c r="H28" i="19" a="1"/>
  <c r="H28" i="19" s="1"/>
  <c r="H29" i="19" a="1"/>
  <c r="H29" i="19" s="1"/>
  <c r="H30" i="19" a="1"/>
  <c r="H30" i="19" s="1"/>
  <c r="H31" i="19" a="1"/>
  <c r="H31" i="19" s="1"/>
  <c r="H32" i="19" a="1"/>
  <c r="H32" i="19" s="1"/>
  <c r="H33" i="19" a="1"/>
  <c r="H33" i="19" s="1"/>
  <c r="H34" i="19" a="1"/>
  <c r="H34" i="19" s="1"/>
  <c r="H35" i="19" a="1"/>
  <c r="H35" i="19" s="1"/>
  <c r="H36" i="19" a="1"/>
  <c r="H36" i="19" s="1"/>
  <c r="H37" i="19" a="1"/>
  <c r="H37" i="19" s="1"/>
  <c r="H38" i="19" a="1"/>
  <c r="H38" i="19" s="1"/>
  <c r="H39" i="19" a="1"/>
  <c r="H39" i="19"/>
  <c r="H40" i="19" a="1"/>
  <c r="H40" i="19" s="1"/>
  <c r="H41" i="19" a="1"/>
  <c r="H41" i="19" s="1"/>
  <c r="H23" i="19" a="1"/>
  <c r="H23" i="19" s="1"/>
  <c r="M26" i="19" a="1"/>
  <c r="M26" i="19" s="1"/>
  <c r="M29" i="19" a="1"/>
  <c r="M29" i="19" s="1"/>
  <c r="M36" i="19" a="1"/>
  <c r="M36" i="19" s="1"/>
  <c r="M37" i="19" a="1"/>
  <c r="M37" i="19" s="1"/>
  <c r="M38" i="19" a="1"/>
  <c r="M38" i="19" s="1"/>
  <c r="M39" i="19" a="1"/>
  <c r="M39" i="19" s="1"/>
  <c r="M40" i="19" a="1"/>
  <c r="M40" i="19" s="1"/>
  <c r="M41" i="19" a="1"/>
  <c r="M41" i="19" s="1"/>
  <c r="M23" i="19" a="1"/>
  <c r="M23" i="19" s="1"/>
  <c r="M24" i="19" a="1"/>
  <c r="M24" i="19" s="1"/>
  <c r="M25" i="19" a="1"/>
  <c r="M25" i="19" s="1"/>
  <c r="M27" i="19" a="1"/>
  <c r="M27" i="19" s="1"/>
  <c r="M28" i="19" a="1"/>
  <c r="M28" i="19" s="1"/>
  <c r="M30" i="19" a="1"/>
  <c r="M30" i="19" s="1"/>
  <c r="M31" i="19" a="1"/>
  <c r="M31" i="19" s="1"/>
  <c r="M32" i="19" a="1"/>
  <c r="M32" i="19" s="1"/>
  <c r="M33" i="19" a="1"/>
  <c r="M33" i="19" s="1"/>
  <c r="M34" i="19" a="1"/>
  <c r="M34" i="19" s="1"/>
  <c r="M35" i="19" a="1"/>
  <c r="M35" i="19" s="1"/>
  <c r="H87" i="19"/>
  <c r="M87" i="19" s="1"/>
  <c r="H86" i="19"/>
  <c r="M86" i="19" s="1"/>
  <c r="H84" i="19"/>
  <c r="M84" i="19" s="1"/>
  <c r="E87" i="19"/>
  <c r="E86" i="19"/>
  <c r="E84" i="19"/>
  <c r="E11" i="19"/>
  <c r="L19" i="19"/>
  <c r="E6" i="19"/>
  <c r="L101" i="17"/>
  <c r="M101" i="17"/>
  <c r="N101" i="17"/>
  <c r="O101" i="17"/>
  <c r="P101" i="17"/>
  <c r="Q101" i="17"/>
  <c r="R101" i="17"/>
  <c r="S101" i="17"/>
  <c r="T101" i="17"/>
  <c r="U101" i="17"/>
  <c r="V101" i="17"/>
  <c r="L102" i="17"/>
  <c r="M102" i="17"/>
  <c r="N102" i="17"/>
  <c r="O102" i="17"/>
  <c r="P102" i="17"/>
  <c r="Q102" i="17"/>
  <c r="R102" i="17"/>
  <c r="S102" i="17"/>
  <c r="T102" i="17"/>
  <c r="U102" i="17"/>
  <c r="V102" i="17"/>
  <c r="L103" i="17"/>
  <c r="M103" i="17"/>
  <c r="N103" i="17"/>
  <c r="O103" i="17"/>
  <c r="P103" i="17"/>
  <c r="Q103" i="17"/>
  <c r="R103" i="17"/>
  <c r="S103" i="17"/>
  <c r="T103" i="17"/>
  <c r="U103" i="17"/>
  <c r="V103" i="17"/>
  <c r="L104" i="17"/>
  <c r="M104" i="17"/>
  <c r="N104" i="17"/>
  <c r="O104" i="17"/>
  <c r="P104" i="17"/>
  <c r="Q104" i="17"/>
  <c r="R104" i="17"/>
  <c r="S104" i="17"/>
  <c r="T104" i="17"/>
  <c r="U104" i="17"/>
  <c r="V104" i="17"/>
  <c r="L105" i="17"/>
  <c r="M105" i="17"/>
  <c r="N105" i="17"/>
  <c r="O105" i="17"/>
  <c r="P105" i="17"/>
  <c r="Q105" i="17"/>
  <c r="R105" i="17"/>
  <c r="S105" i="17"/>
  <c r="T105" i="17"/>
  <c r="U105" i="17"/>
  <c r="V105" i="17"/>
  <c r="L106" i="17"/>
  <c r="M106" i="17"/>
  <c r="N106" i="17"/>
  <c r="O106" i="17"/>
  <c r="P106" i="17"/>
  <c r="Q106" i="17"/>
  <c r="R106" i="17"/>
  <c r="S106" i="17"/>
  <c r="T106" i="17"/>
  <c r="U106" i="17"/>
  <c r="V106" i="17"/>
  <c r="L107" i="17"/>
  <c r="M107" i="17"/>
  <c r="N107" i="17"/>
  <c r="O107" i="17"/>
  <c r="P107" i="17"/>
  <c r="Q107" i="17"/>
  <c r="R107" i="17"/>
  <c r="S107" i="17"/>
  <c r="T107" i="17"/>
  <c r="U107" i="17"/>
  <c r="V107" i="17"/>
  <c r="K102" i="17"/>
  <c r="K103" i="17"/>
  <c r="K104" i="17"/>
  <c r="K105" i="17"/>
  <c r="K106" i="17"/>
  <c r="K107" i="17"/>
  <c r="K101" i="17"/>
  <c r="E5" i="13"/>
  <c r="F5" i="13" s="1"/>
  <c r="G5" i="13" s="1"/>
  <c r="H5" i="13" s="1"/>
  <c r="I5" i="13" s="1"/>
  <c r="J5" i="13" s="1"/>
  <c r="K5" i="13" s="1"/>
  <c r="L5" i="13" s="1"/>
  <c r="M5" i="13" s="1"/>
  <c r="N5" i="13" s="1"/>
  <c r="O5" i="13" s="1"/>
  <c r="F5" i="7"/>
  <c r="G5" i="7" s="1"/>
  <c r="H5" i="7" s="1"/>
  <c r="I5" i="7" s="1"/>
  <c r="J5" i="7" s="1"/>
  <c r="K5" i="7" s="1"/>
  <c r="L5" i="7" s="1"/>
  <c r="M5" i="7" s="1"/>
  <c r="N5" i="7" s="1"/>
  <c r="O5" i="7" s="1"/>
  <c r="P5" i="7" s="1"/>
  <c r="F5" i="5"/>
  <c r="G5" i="5"/>
  <c r="H5" i="5" s="1"/>
  <c r="I5" i="5" s="1"/>
  <c r="J5" i="5" s="1"/>
  <c r="K5" i="5" s="1"/>
  <c r="L5" i="5" s="1"/>
  <c r="M5" i="5" s="1"/>
  <c r="N5" i="5" s="1"/>
  <c r="O5" i="5" s="1"/>
  <c r="P5" i="5" s="1"/>
  <c r="F5" i="20"/>
  <c r="G5" i="20" s="1"/>
  <c r="H5" i="20" s="1"/>
  <c r="I5" i="20" s="1"/>
  <c r="J5" i="20" s="1"/>
  <c r="K5" i="20" s="1"/>
  <c r="L5" i="20" s="1"/>
  <c r="M5" i="20" s="1"/>
  <c r="N5" i="20" s="1"/>
  <c r="O5" i="20" s="1"/>
  <c r="P5" i="20" s="1"/>
  <c r="F5" i="9"/>
  <c r="G5" i="9" s="1"/>
  <c r="H5" i="9" s="1"/>
  <c r="I5" i="9" s="1"/>
  <c r="J5" i="9" s="1"/>
  <c r="K5" i="9" s="1"/>
  <c r="L5" i="9" s="1"/>
  <c r="M5" i="9" s="1"/>
  <c r="N5" i="9" s="1"/>
  <c r="O5" i="9" s="1"/>
  <c r="P5" i="9" s="1"/>
  <c r="F5" i="12"/>
  <c r="G5" i="12" s="1"/>
  <c r="H5" i="12" s="1"/>
  <c r="I5" i="12" s="1"/>
  <c r="J5" i="12" s="1"/>
  <c r="K5" i="12" s="1"/>
  <c r="L5" i="12" s="1"/>
  <c r="M5" i="12" s="1"/>
  <c r="N5" i="12" s="1"/>
  <c r="O5" i="12" s="1"/>
  <c r="P5" i="12" s="1"/>
  <c r="W83" i="17"/>
  <c r="X83" i="17"/>
  <c r="W84" i="17"/>
  <c r="X84" i="17"/>
  <c r="W86" i="17"/>
  <c r="X86" i="17"/>
  <c r="W87" i="17"/>
  <c r="X87" i="17"/>
  <c r="L83" i="17"/>
  <c r="L84" i="17"/>
  <c r="L86" i="17"/>
  <c r="L87" i="17"/>
  <c r="K84" i="17"/>
  <c r="K86" i="17"/>
  <c r="K87" i="17"/>
  <c r="K83" i="17"/>
  <c r="P38" i="20"/>
  <c r="O38" i="20"/>
  <c r="N38" i="20"/>
  <c r="Q38" i="20"/>
  <c r="M38" i="20"/>
  <c r="L38" i="20"/>
  <c r="K38" i="20"/>
  <c r="J38" i="20"/>
  <c r="I38" i="20"/>
  <c r="H38" i="20"/>
  <c r="G38" i="20"/>
  <c r="F38" i="20"/>
  <c r="E38" i="20"/>
  <c r="Q31" i="20"/>
  <c r="G30" i="20"/>
  <c r="H30" i="20"/>
  <c r="F30" i="20"/>
  <c r="F29" i="20"/>
  <c r="G29" i="20"/>
  <c r="H29" i="20"/>
  <c r="I29" i="20"/>
  <c r="J29" i="20"/>
  <c r="K29" i="20"/>
  <c r="L29" i="20"/>
  <c r="M29" i="20"/>
  <c r="N29" i="20"/>
  <c r="O29" i="20"/>
  <c r="P29" i="20"/>
  <c r="E28" i="20"/>
  <c r="Q28" i="20"/>
  <c r="E27" i="20"/>
  <c r="E26" i="20"/>
  <c r="Q26" i="20"/>
  <c r="E25" i="20"/>
  <c r="F25" i="20"/>
  <c r="Q23" i="20"/>
  <c r="Q22" i="20"/>
  <c r="E20" i="20"/>
  <c r="F20" i="20"/>
  <c r="Q19" i="20"/>
  <c r="Q18" i="20"/>
  <c r="Q17" i="20"/>
  <c r="E16" i="20"/>
  <c r="F16" i="20"/>
  <c r="G16" i="20"/>
  <c r="H16" i="20"/>
  <c r="I16" i="20"/>
  <c r="J16" i="20"/>
  <c r="K16" i="20"/>
  <c r="L16" i="20"/>
  <c r="M16" i="20"/>
  <c r="N16" i="20"/>
  <c r="O16" i="20"/>
  <c r="P16" i="20"/>
  <c r="E15" i="20"/>
  <c r="E13" i="20"/>
  <c r="F12" i="20"/>
  <c r="G12" i="20"/>
  <c r="E12" i="20"/>
  <c r="E10" i="20"/>
  <c r="F10" i="20"/>
  <c r="G10" i="20"/>
  <c r="H10" i="20"/>
  <c r="I10" i="20"/>
  <c r="J10" i="20"/>
  <c r="K10" i="20"/>
  <c r="L10" i="20"/>
  <c r="M10" i="20"/>
  <c r="N10" i="20"/>
  <c r="O10" i="20"/>
  <c r="P10" i="20"/>
  <c r="P9" i="20"/>
  <c r="M9" i="20"/>
  <c r="J9" i="20"/>
  <c r="I9" i="20"/>
  <c r="O9" i="20"/>
  <c r="H9" i="20"/>
  <c r="N9" i="20"/>
  <c r="E8" i="20"/>
  <c r="F8" i="20"/>
  <c r="E7" i="20"/>
  <c r="F7" i="20"/>
  <c r="G7" i="20"/>
  <c r="H7" i="20"/>
  <c r="I7" i="20"/>
  <c r="J7" i="20"/>
  <c r="K7" i="20"/>
  <c r="L7" i="20"/>
  <c r="M7" i="20"/>
  <c r="N7" i="20"/>
  <c r="O7" i="20"/>
  <c r="P7" i="20"/>
  <c r="G20" i="20"/>
  <c r="H20" i="20"/>
  <c r="I20" i="20"/>
  <c r="J20" i="20"/>
  <c r="K20" i="20"/>
  <c r="L20" i="20"/>
  <c r="M20" i="20"/>
  <c r="N20" i="20"/>
  <c r="O20" i="20"/>
  <c r="P20" i="20"/>
  <c r="Q15" i="20"/>
  <c r="H12" i="20"/>
  <c r="I12" i="20"/>
  <c r="J12" i="20"/>
  <c r="K12" i="20"/>
  <c r="L12" i="20"/>
  <c r="M12" i="20"/>
  <c r="N12" i="20"/>
  <c r="O12" i="20"/>
  <c r="P12" i="20"/>
  <c r="G8" i="20"/>
  <c r="H8" i="20"/>
  <c r="I8" i="20"/>
  <c r="J8" i="20"/>
  <c r="K8" i="20"/>
  <c r="L8" i="20"/>
  <c r="M8" i="20"/>
  <c r="N8" i="20"/>
  <c r="O8" i="20"/>
  <c r="P8" i="20"/>
  <c r="G25" i="20"/>
  <c r="H25" i="20"/>
  <c r="I25" i="20"/>
  <c r="J25" i="20"/>
  <c r="K25" i="20"/>
  <c r="L25" i="20"/>
  <c r="M25" i="20"/>
  <c r="N25" i="20"/>
  <c r="O25" i="20"/>
  <c r="P25" i="20"/>
  <c r="I30" i="20"/>
  <c r="J30" i="20"/>
  <c r="K30" i="20"/>
  <c r="L30" i="20"/>
  <c r="M30" i="20"/>
  <c r="N30" i="20"/>
  <c r="O30" i="20"/>
  <c r="P30" i="20"/>
  <c r="Q30" i="20"/>
  <c r="Q16" i="20"/>
  <c r="F15" i="20"/>
  <c r="G15" i="20"/>
  <c r="H15" i="20"/>
  <c r="I15" i="20"/>
  <c r="J15" i="20"/>
  <c r="K15" i="20"/>
  <c r="L15" i="20"/>
  <c r="M15" i="20"/>
  <c r="N15" i="20"/>
  <c r="O15" i="20"/>
  <c r="P15" i="20"/>
  <c r="F13" i="20"/>
  <c r="G13" i="20"/>
  <c r="H13" i="20"/>
  <c r="I13" i="20"/>
  <c r="J13" i="20"/>
  <c r="K13" i="20"/>
  <c r="L13" i="20"/>
  <c r="M13" i="20"/>
  <c r="N13" i="20"/>
  <c r="O13" i="20"/>
  <c r="P13" i="20"/>
  <c r="K9" i="20"/>
  <c r="Q29" i="20"/>
  <c r="Q7" i="20"/>
  <c r="L9" i="20"/>
  <c r="Q10" i="20"/>
  <c r="F27" i="20"/>
  <c r="G27" i="20"/>
  <c r="H27" i="20"/>
  <c r="I27" i="20"/>
  <c r="J27" i="20"/>
  <c r="K27" i="20"/>
  <c r="L27" i="20"/>
  <c r="M27" i="20"/>
  <c r="N27" i="20"/>
  <c r="O27" i="20"/>
  <c r="P27" i="20"/>
  <c r="Q25" i="20"/>
  <c r="Q12" i="20"/>
  <c r="Q20" i="20"/>
  <c r="Q9" i="20"/>
  <c r="Q27" i="20"/>
  <c r="Q8" i="20"/>
  <c r="Q13" i="20"/>
  <c r="I115" i="17"/>
  <c r="I116" i="17" s="1"/>
  <c r="J115" i="17"/>
  <c r="J116" i="17" s="1"/>
  <c r="K115" i="17"/>
  <c r="K116" i="17" s="1"/>
  <c r="L115" i="17"/>
  <c r="L116" i="17"/>
  <c r="M115" i="17"/>
  <c r="M116" i="17"/>
  <c r="N115" i="17"/>
  <c r="N116" i="17" s="1"/>
  <c r="O115" i="17"/>
  <c r="O116" i="17" s="1"/>
  <c r="P115" i="17"/>
  <c r="P116" i="17"/>
  <c r="Q115" i="17"/>
  <c r="Q116" i="17" s="1"/>
  <c r="R115" i="17"/>
  <c r="R116" i="17" s="1"/>
  <c r="S115" i="17"/>
  <c r="S116" i="17" s="1"/>
  <c r="T115" i="17"/>
  <c r="T116" i="17" s="1"/>
  <c r="U115" i="17"/>
  <c r="U116" i="17" s="1"/>
  <c r="V115" i="17"/>
  <c r="V116" i="17"/>
  <c r="W115" i="17"/>
  <c r="W116" i="17"/>
  <c r="X115" i="17"/>
  <c r="X116" i="17"/>
  <c r="Y115" i="17"/>
  <c r="Y116" i="17" s="1"/>
  <c r="Z115" i="17"/>
  <c r="Z116" i="17" s="1"/>
  <c r="AA115" i="17"/>
  <c r="AA116" i="17" s="1"/>
  <c r="AB115" i="17"/>
  <c r="AB116" i="17" s="1"/>
  <c r="AC115" i="17"/>
  <c r="AC116" i="17" s="1"/>
  <c r="AD115" i="17"/>
  <c r="AD116" i="17" s="1"/>
  <c r="AE115" i="17"/>
  <c r="AE116" i="17" s="1"/>
  <c r="AF115" i="17"/>
  <c r="AF116" i="17"/>
  <c r="AG115" i="17"/>
  <c r="AG116" i="17" s="1"/>
  <c r="AH115" i="17"/>
  <c r="AH116" i="17"/>
  <c r="H115" i="17"/>
  <c r="H116" i="17" s="1"/>
  <c r="I108" i="17"/>
  <c r="J108" i="17"/>
  <c r="W108" i="17"/>
  <c r="X108" i="17"/>
  <c r="Y108" i="17"/>
  <c r="Z108" i="17"/>
  <c r="AA108" i="17"/>
  <c r="AB108" i="17"/>
  <c r="AC108" i="17"/>
  <c r="AD108" i="17"/>
  <c r="AE108" i="17"/>
  <c r="AF108" i="17"/>
  <c r="AG108" i="17"/>
  <c r="AH108" i="17"/>
  <c r="H108" i="17"/>
  <c r="I99" i="17"/>
  <c r="J99" i="17"/>
  <c r="H99" i="17"/>
  <c r="I88" i="17"/>
  <c r="J88" i="17"/>
  <c r="H88" i="17"/>
  <c r="I81" i="17"/>
  <c r="J81" i="17"/>
  <c r="H81" i="17"/>
  <c r="I69" i="17"/>
  <c r="J69" i="17"/>
  <c r="L69" i="17"/>
  <c r="M69" i="17"/>
  <c r="N69" i="17"/>
  <c r="O69" i="17"/>
  <c r="P69" i="17"/>
  <c r="Q69" i="17"/>
  <c r="R69" i="17"/>
  <c r="S69" i="17"/>
  <c r="T69" i="17"/>
  <c r="U69" i="17"/>
  <c r="V69" i="17"/>
  <c r="W69" i="17"/>
  <c r="X69" i="17"/>
  <c r="Y69" i="17"/>
  <c r="Z69" i="17"/>
  <c r="AA69" i="17"/>
  <c r="AB69" i="17"/>
  <c r="AC69" i="17"/>
  <c r="AD69" i="17"/>
  <c r="AE69" i="17"/>
  <c r="AF69" i="17"/>
  <c r="AG69" i="17"/>
  <c r="AH69" i="17"/>
  <c r="H56" i="17"/>
  <c r="H58" i="17" s="1"/>
  <c r="H112" i="17" s="1"/>
  <c r="H113" i="17" s="1"/>
  <c r="I56" i="17"/>
  <c r="I58" i="17" s="1"/>
  <c r="J56" i="17"/>
  <c r="J58" i="17" s="1"/>
  <c r="J112" i="17" s="1"/>
  <c r="J113" i="17" s="1"/>
  <c r="K29" i="17"/>
  <c r="L5" i="17"/>
  <c r="M5" i="17" s="1"/>
  <c r="N5" i="17" s="1"/>
  <c r="O5" i="17" s="1"/>
  <c r="P5" i="17" s="1"/>
  <c r="Q5" i="17" s="1"/>
  <c r="R5" i="17" s="1"/>
  <c r="S5" i="17" s="1"/>
  <c r="T5" i="17" s="1"/>
  <c r="U5" i="17" s="1"/>
  <c r="V5" i="17" s="1"/>
  <c r="W5" i="17" s="1"/>
  <c r="X5" i="17" s="1"/>
  <c r="Y5" i="17" s="1"/>
  <c r="Z5" i="17" s="1"/>
  <c r="AA5" i="17" s="1"/>
  <c r="AB5" i="17" s="1"/>
  <c r="AC5" i="17" s="1"/>
  <c r="AD5" i="17" s="1"/>
  <c r="AE5" i="17" s="1"/>
  <c r="AF5" i="17" s="1"/>
  <c r="AG5" i="17" s="1"/>
  <c r="AH5" i="17" s="1"/>
  <c r="W56" i="17"/>
  <c r="X56" i="17"/>
  <c r="Y56" i="17"/>
  <c r="Z56" i="17"/>
  <c r="AA56" i="17"/>
  <c r="AB56" i="17"/>
  <c r="AC56" i="17"/>
  <c r="AD56" i="17"/>
  <c r="AE56" i="17"/>
  <c r="AF56" i="17"/>
  <c r="AG56" i="17"/>
  <c r="AH56" i="17"/>
  <c r="L29" i="17"/>
  <c r="M29" i="17"/>
  <c r="N29" i="17"/>
  <c r="O29" i="17"/>
  <c r="P29" i="17"/>
  <c r="Q29" i="17"/>
  <c r="R29" i="17"/>
  <c r="S29" i="17"/>
  <c r="T29" i="17"/>
  <c r="U29" i="17"/>
  <c r="V29" i="17"/>
  <c r="L30" i="17"/>
  <c r="M30" i="17"/>
  <c r="N30" i="17"/>
  <c r="O30" i="17"/>
  <c r="P30" i="17"/>
  <c r="Q30" i="17"/>
  <c r="R30" i="17"/>
  <c r="S30" i="17"/>
  <c r="T30" i="17"/>
  <c r="U30" i="17"/>
  <c r="V30" i="17"/>
  <c r="L31" i="17"/>
  <c r="M31" i="17"/>
  <c r="N31" i="17"/>
  <c r="O31" i="17"/>
  <c r="P31" i="17"/>
  <c r="Q31" i="17"/>
  <c r="R31" i="17"/>
  <c r="S31" i="17"/>
  <c r="T31" i="17"/>
  <c r="U31" i="17"/>
  <c r="V31" i="17"/>
  <c r="L32" i="17"/>
  <c r="M32" i="17"/>
  <c r="N32" i="17"/>
  <c r="O32" i="17"/>
  <c r="P32" i="17"/>
  <c r="Q32" i="17"/>
  <c r="R32" i="17"/>
  <c r="S32" i="17"/>
  <c r="T32" i="17"/>
  <c r="U32" i="17"/>
  <c r="V32" i="17"/>
  <c r="L33" i="17"/>
  <c r="M33" i="17"/>
  <c r="N33" i="17"/>
  <c r="O33" i="17"/>
  <c r="P33" i="17"/>
  <c r="Q33" i="17"/>
  <c r="R33" i="17"/>
  <c r="S33" i="17"/>
  <c r="T33" i="17"/>
  <c r="U33" i="17"/>
  <c r="V33" i="17"/>
  <c r="L34" i="17"/>
  <c r="M34" i="17"/>
  <c r="N34" i="17"/>
  <c r="O34" i="17"/>
  <c r="P34" i="17"/>
  <c r="Q34" i="17"/>
  <c r="R34" i="17"/>
  <c r="S34" i="17"/>
  <c r="T34" i="17"/>
  <c r="U34" i="17"/>
  <c r="V34" i="17"/>
  <c r="L35" i="17"/>
  <c r="M35" i="17"/>
  <c r="N35" i="17"/>
  <c r="O35" i="17"/>
  <c r="P35" i="17"/>
  <c r="Q35" i="17"/>
  <c r="R35" i="17"/>
  <c r="S35" i="17"/>
  <c r="T35" i="17"/>
  <c r="U35" i="17"/>
  <c r="V35" i="17"/>
  <c r="L36" i="17"/>
  <c r="M36" i="17"/>
  <c r="N36" i="17"/>
  <c r="O36" i="17"/>
  <c r="P36" i="17"/>
  <c r="Q36" i="17"/>
  <c r="R36" i="17"/>
  <c r="S36" i="17"/>
  <c r="T36" i="17"/>
  <c r="U36" i="17"/>
  <c r="V36" i="17"/>
  <c r="L37" i="17"/>
  <c r="M37" i="17"/>
  <c r="N37" i="17"/>
  <c r="O37" i="17"/>
  <c r="P37" i="17"/>
  <c r="Q37" i="17"/>
  <c r="R37" i="17"/>
  <c r="S37" i="17"/>
  <c r="T37" i="17"/>
  <c r="U37" i="17"/>
  <c r="V37" i="17"/>
  <c r="L38" i="17"/>
  <c r="M38" i="17"/>
  <c r="N38" i="17"/>
  <c r="O38" i="17"/>
  <c r="P38" i="17"/>
  <c r="Q38" i="17"/>
  <c r="R38" i="17"/>
  <c r="S38" i="17"/>
  <c r="T38" i="17"/>
  <c r="U38" i="17"/>
  <c r="V38" i="17"/>
  <c r="L39" i="17"/>
  <c r="M39" i="17"/>
  <c r="N39" i="17"/>
  <c r="O39" i="17"/>
  <c r="P39" i="17"/>
  <c r="Q39" i="17"/>
  <c r="R39" i="17"/>
  <c r="S39" i="17"/>
  <c r="T39" i="17"/>
  <c r="U39" i="17"/>
  <c r="V39" i="17"/>
  <c r="L40" i="17"/>
  <c r="M40" i="17"/>
  <c r="N40" i="17"/>
  <c r="O40" i="17"/>
  <c r="P40" i="17"/>
  <c r="Q40" i="17"/>
  <c r="R40" i="17"/>
  <c r="S40" i="17"/>
  <c r="T40" i="17"/>
  <c r="U40" i="17"/>
  <c r="V40" i="17"/>
  <c r="L41" i="17"/>
  <c r="M41" i="17"/>
  <c r="N41" i="17"/>
  <c r="O41" i="17"/>
  <c r="P41" i="17"/>
  <c r="Q41" i="17"/>
  <c r="R41" i="17"/>
  <c r="S41" i="17"/>
  <c r="T41" i="17"/>
  <c r="U41" i="17"/>
  <c r="V41" i="17"/>
  <c r="L42" i="17"/>
  <c r="M42" i="17"/>
  <c r="N42" i="17"/>
  <c r="O42" i="17"/>
  <c r="P42" i="17"/>
  <c r="Q42" i="17"/>
  <c r="R42" i="17"/>
  <c r="S42" i="17"/>
  <c r="T42" i="17"/>
  <c r="U42" i="17"/>
  <c r="V42" i="17"/>
  <c r="L43" i="17"/>
  <c r="M43" i="17"/>
  <c r="N43" i="17"/>
  <c r="O43" i="17"/>
  <c r="P43" i="17"/>
  <c r="Q43" i="17"/>
  <c r="R43" i="17"/>
  <c r="S43" i="17"/>
  <c r="T43" i="17"/>
  <c r="U43" i="17"/>
  <c r="V43" i="17"/>
  <c r="L44" i="17"/>
  <c r="M44" i="17"/>
  <c r="N44" i="17"/>
  <c r="O44" i="17"/>
  <c r="P44" i="17"/>
  <c r="Q44" i="17"/>
  <c r="R44" i="17"/>
  <c r="S44" i="17"/>
  <c r="T44" i="17"/>
  <c r="U44" i="17"/>
  <c r="V44" i="17"/>
  <c r="L45" i="17"/>
  <c r="M45" i="17"/>
  <c r="N45" i="17"/>
  <c r="O45" i="17"/>
  <c r="P45" i="17"/>
  <c r="Q45" i="17"/>
  <c r="R45" i="17"/>
  <c r="S45" i="17"/>
  <c r="T45" i="17"/>
  <c r="U45" i="17"/>
  <c r="V45" i="17"/>
  <c r="L46" i="17"/>
  <c r="M46" i="17"/>
  <c r="N46" i="17"/>
  <c r="O46" i="17"/>
  <c r="P46" i="17"/>
  <c r="Q46" i="17"/>
  <c r="R46" i="17"/>
  <c r="S46" i="17"/>
  <c r="T46" i="17"/>
  <c r="U46" i="17"/>
  <c r="V46" i="17"/>
  <c r="L47" i="17"/>
  <c r="M47" i="17"/>
  <c r="N47" i="17"/>
  <c r="O47" i="17"/>
  <c r="P47" i="17"/>
  <c r="Q47" i="17"/>
  <c r="R47" i="17"/>
  <c r="S47" i="17"/>
  <c r="T47" i="17"/>
  <c r="U47" i="17"/>
  <c r="V47" i="17"/>
  <c r="L48" i="17"/>
  <c r="M48" i="17"/>
  <c r="N48" i="17"/>
  <c r="O48" i="17"/>
  <c r="P48" i="17"/>
  <c r="Q48" i="17"/>
  <c r="R48" i="17"/>
  <c r="S48" i="17"/>
  <c r="T48" i="17"/>
  <c r="U48" i="17"/>
  <c r="V48" i="17"/>
  <c r="L49" i="17"/>
  <c r="M49" i="17"/>
  <c r="N49" i="17"/>
  <c r="O49" i="17"/>
  <c r="P49" i="17"/>
  <c r="Q49" i="17"/>
  <c r="R49" i="17"/>
  <c r="S49" i="17"/>
  <c r="T49" i="17"/>
  <c r="U49" i="17"/>
  <c r="V49" i="17"/>
  <c r="L50" i="17"/>
  <c r="M50" i="17"/>
  <c r="N50" i="17"/>
  <c r="O50" i="17"/>
  <c r="P50" i="17"/>
  <c r="Q50" i="17"/>
  <c r="R50" i="17"/>
  <c r="S50" i="17"/>
  <c r="T50" i="17"/>
  <c r="U50" i="17"/>
  <c r="V50" i="17"/>
  <c r="L55" i="17"/>
  <c r="M55" i="17"/>
  <c r="N55" i="17"/>
  <c r="O55" i="17"/>
  <c r="P55" i="17"/>
  <c r="Q55" i="17"/>
  <c r="R55" i="17"/>
  <c r="S55" i="17"/>
  <c r="T55" i="17"/>
  <c r="U55" i="17"/>
  <c r="V55" i="17"/>
  <c r="K55" i="17"/>
  <c r="K50" i="17"/>
  <c r="K49" i="17"/>
  <c r="K48" i="17"/>
  <c r="K47" i="17"/>
  <c r="K46" i="17"/>
  <c r="K45" i="17"/>
  <c r="K44" i="17"/>
  <c r="K43" i="17"/>
  <c r="K42" i="17"/>
  <c r="K41" i="17"/>
  <c r="K40" i="17"/>
  <c r="K39" i="17"/>
  <c r="K38" i="17"/>
  <c r="K37" i="17"/>
  <c r="K36" i="17"/>
  <c r="K35" i="17"/>
  <c r="K34" i="17"/>
  <c r="K33" i="17"/>
  <c r="K32" i="17"/>
  <c r="K31" i="17"/>
  <c r="K30" i="17"/>
  <c r="F30" i="17"/>
  <c r="F31" i="17"/>
  <c r="F32" i="17"/>
  <c r="F34" i="17"/>
  <c r="F35" i="17"/>
  <c r="F36" i="17"/>
  <c r="F37" i="17"/>
  <c r="F38" i="17"/>
  <c r="F39" i="17"/>
  <c r="F40" i="17"/>
  <c r="F41" i="17"/>
  <c r="F42" i="17"/>
  <c r="F43" i="17"/>
  <c r="F44" i="17"/>
  <c r="F45" i="17"/>
  <c r="F46" i="17"/>
  <c r="F47" i="17"/>
  <c r="F48" i="17"/>
  <c r="F49" i="17"/>
  <c r="F50" i="17"/>
  <c r="F55" i="17"/>
  <c r="F29" i="17"/>
  <c r="B5" i="17"/>
  <c r="F38" i="5"/>
  <c r="G38" i="5"/>
  <c r="H38" i="5"/>
  <c r="I38" i="5"/>
  <c r="J38" i="5"/>
  <c r="K38" i="5"/>
  <c r="L38" i="5"/>
  <c r="M38" i="5"/>
  <c r="N38" i="5"/>
  <c r="O38" i="5"/>
  <c r="P38" i="5"/>
  <c r="E38" i="5"/>
  <c r="Q38" i="5"/>
  <c r="B3" i="9"/>
  <c r="X79" i="17" s="1"/>
  <c r="B3" i="13"/>
  <c r="B3" i="12"/>
  <c r="C5" i="17"/>
  <c r="Q31" i="5"/>
  <c r="O6" i="1"/>
  <c r="M9" i="5"/>
  <c r="I9" i="5"/>
  <c r="L9" i="5"/>
  <c r="H9" i="5"/>
  <c r="K9" i="5"/>
  <c r="J9" i="5"/>
  <c r="P9" i="5"/>
  <c r="E25" i="5"/>
  <c r="M84" i="17"/>
  <c r="M86" i="17"/>
  <c r="M87" i="17"/>
  <c r="Y83" i="17"/>
  <c r="M83" i="17"/>
  <c r="Y84" i="17"/>
  <c r="Y86" i="17"/>
  <c r="Y87" i="17"/>
  <c r="O9" i="5"/>
  <c r="N9" i="5"/>
  <c r="J4" i="16"/>
  <c r="P22" i="13"/>
  <c r="P21" i="13"/>
  <c r="P20" i="13"/>
  <c r="P19" i="13"/>
  <c r="P18" i="13"/>
  <c r="P17" i="13"/>
  <c r="P16" i="13"/>
  <c r="P15" i="13"/>
  <c r="P14" i="13"/>
  <c r="P13" i="13"/>
  <c r="P12" i="13"/>
  <c r="P11" i="13"/>
  <c r="P10" i="13"/>
  <c r="P9" i="13"/>
  <c r="P8" i="13"/>
  <c r="P7" i="13"/>
  <c r="P6" i="13"/>
  <c r="Q101" i="12"/>
  <c r="Q100" i="12"/>
  <c r="Q99" i="12"/>
  <c r="Q98" i="12"/>
  <c r="Q97" i="12"/>
  <c r="Q96" i="12"/>
  <c r="Q95" i="12"/>
  <c r="Q94" i="12"/>
  <c r="Q93" i="12"/>
  <c r="Q92" i="12"/>
  <c r="Q91" i="12"/>
  <c r="Q90" i="12"/>
  <c r="Q89" i="12"/>
  <c r="Q88" i="12"/>
  <c r="Q87" i="12"/>
  <c r="Q86" i="12"/>
  <c r="Q85" i="12"/>
  <c r="Q84" i="12"/>
  <c r="Q83" i="12"/>
  <c r="Q82" i="12"/>
  <c r="Q81" i="12"/>
  <c r="Q80" i="12"/>
  <c r="Q79" i="12"/>
  <c r="Q78" i="12"/>
  <c r="Q77" i="12"/>
  <c r="Q76" i="12"/>
  <c r="Q75" i="12"/>
  <c r="Q74" i="12"/>
  <c r="Q73" i="12"/>
  <c r="Q72" i="12"/>
  <c r="Q71" i="12"/>
  <c r="Q70" i="12"/>
  <c r="Q69" i="12"/>
  <c r="Q68" i="12"/>
  <c r="Q67" i="12"/>
  <c r="Q66" i="12"/>
  <c r="Q65" i="12"/>
  <c r="Q64" i="12"/>
  <c r="Q63" i="12"/>
  <c r="Q62" i="12"/>
  <c r="Q61" i="12"/>
  <c r="Q60" i="12"/>
  <c r="Q59" i="12"/>
  <c r="Q58" i="12"/>
  <c r="Q57" i="12"/>
  <c r="Q56" i="12"/>
  <c r="Q55" i="12"/>
  <c r="Q54" i="12"/>
  <c r="Q53" i="12"/>
  <c r="Q52" i="12"/>
  <c r="Q51" i="12"/>
  <c r="Q50" i="12"/>
  <c r="Q49" i="12"/>
  <c r="Q48" i="12"/>
  <c r="Q47" i="12"/>
  <c r="Q46" i="12"/>
  <c r="Q45" i="12"/>
  <c r="Q44" i="12"/>
  <c r="Q43" i="12"/>
  <c r="Q42" i="12"/>
  <c r="Q41" i="12"/>
  <c r="Q40" i="12"/>
  <c r="Q39" i="12"/>
  <c r="Q38" i="12"/>
  <c r="Q37" i="12"/>
  <c r="Q36" i="12"/>
  <c r="Q35" i="12"/>
  <c r="H103" i="12"/>
  <c r="G103" i="12"/>
  <c r="F103" i="12"/>
  <c r="Q34" i="12"/>
  <c r="Q33" i="12"/>
  <c r="Q32" i="12"/>
  <c r="P103" i="12"/>
  <c r="O103" i="12"/>
  <c r="N103" i="12"/>
  <c r="M103" i="12"/>
  <c r="L103" i="12"/>
  <c r="K103" i="12"/>
  <c r="J103" i="12"/>
  <c r="Q31" i="12"/>
  <c r="Q30" i="12"/>
  <c r="Q29" i="12"/>
  <c r="Q28" i="12"/>
  <c r="Q27" i="12"/>
  <c r="Q26" i="12"/>
  <c r="Q25" i="12"/>
  <c r="Q24" i="12"/>
  <c r="Q23" i="12"/>
  <c r="Q22" i="12"/>
  <c r="Q21" i="12"/>
  <c r="Q20" i="12"/>
  <c r="Q19" i="12"/>
  <c r="Q18" i="12"/>
  <c r="Q17" i="12"/>
  <c r="Q16" i="12"/>
  <c r="Q15" i="12"/>
  <c r="Q14" i="12"/>
  <c r="Q13" i="12"/>
  <c r="Q12" i="12"/>
  <c r="Q11" i="12"/>
  <c r="Q10" i="12"/>
  <c r="Q9" i="12"/>
  <c r="Q8" i="12"/>
  <c r="Q7" i="12"/>
  <c r="Q6" i="12"/>
  <c r="Q54" i="1"/>
  <c r="Q430" i="1"/>
  <c r="Q429"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W430" i="1"/>
  <c r="W432" i="1" s="1"/>
  <c r="V430" i="1"/>
  <c r="V432" i="1" s="1"/>
  <c r="U430" i="1"/>
  <c r="T430" i="1"/>
  <c r="T432" i="1" s="1"/>
  <c r="S430" i="1"/>
  <c r="W429" i="1"/>
  <c r="V429" i="1"/>
  <c r="U429" i="1"/>
  <c r="T429" i="1"/>
  <c r="S429" i="1"/>
  <c r="S432" i="1" s="1"/>
  <c r="W306" i="1"/>
  <c r="V306" i="1"/>
  <c r="U306" i="1"/>
  <c r="T306" i="1"/>
  <c r="S306" i="1"/>
  <c r="W305" i="1"/>
  <c r="V305" i="1"/>
  <c r="U305" i="1"/>
  <c r="T305" i="1"/>
  <c r="S305" i="1"/>
  <c r="W304" i="1"/>
  <c r="V304" i="1"/>
  <c r="U304" i="1"/>
  <c r="T304" i="1"/>
  <c r="S304" i="1"/>
  <c r="W303" i="1"/>
  <c r="V303" i="1"/>
  <c r="U303" i="1"/>
  <c r="T303" i="1"/>
  <c r="S303" i="1"/>
  <c r="W302" i="1"/>
  <c r="V302" i="1"/>
  <c r="U302" i="1"/>
  <c r="T302" i="1"/>
  <c r="S302" i="1"/>
  <c r="W301" i="1"/>
  <c r="V301" i="1"/>
  <c r="U301" i="1"/>
  <c r="T301" i="1"/>
  <c r="S301" i="1"/>
  <c r="W300" i="1"/>
  <c r="V300" i="1"/>
  <c r="U300" i="1"/>
  <c r="T300" i="1"/>
  <c r="S300" i="1"/>
  <c r="W299" i="1"/>
  <c r="V299" i="1"/>
  <c r="U299" i="1"/>
  <c r="T299" i="1"/>
  <c r="S299" i="1"/>
  <c r="W298" i="1"/>
  <c r="V298" i="1"/>
  <c r="U298" i="1"/>
  <c r="T298" i="1"/>
  <c r="S298" i="1"/>
  <c r="W297" i="1"/>
  <c r="V297" i="1"/>
  <c r="U297" i="1"/>
  <c r="T297" i="1"/>
  <c r="S297" i="1"/>
  <c r="W296" i="1"/>
  <c r="V296" i="1"/>
  <c r="U296" i="1"/>
  <c r="T296" i="1"/>
  <c r="S296" i="1"/>
  <c r="W295" i="1"/>
  <c r="V295" i="1"/>
  <c r="U295" i="1"/>
  <c r="T295" i="1"/>
  <c r="S295" i="1"/>
  <c r="W294" i="1"/>
  <c r="V294" i="1"/>
  <c r="U294" i="1"/>
  <c r="T294" i="1"/>
  <c r="S294" i="1"/>
  <c r="W293" i="1"/>
  <c r="V293" i="1"/>
  <c r="U293" i="1"/>
  <c r="T293" i="1"/>
  <c r="S293" i="1"/>
  <c r="W292" i="1"/>
  <c r="V292" i="1"/>
  <c r="U292" i="1"/>
  <c r="T292" i="1"/>
  <c r="S292" i="1"/>
  <c r="W291" i="1"/>
  <c r="V291" i="1"/>
  <c r="U291" i="1"/>
  <c r="T291" i="1"/>
  <c r="S291" i="1"/>
  <c r="W290" i="1"/>
  <c r="V290" i="1"/>
  <c r="U290" i="1"/>
  <c r="T290" i="1"/>
  <c r="S290" i="1"/>
  <c r="W289" i="1"/>
  <c r="V289" i="1"/>
  <c r="U289" i="1"/>
  <c r="T289" i="1"/>
  <c r="S289" i="1"/>
  <c r="W288" i="1"/>
  <c r="V288" i="1"/>
  <c r="U288" i="1"/>
  <c r="T288" i="1"/>
  <c r="S288" i="1"/>
  <c r="W287" i="1"/>
  <c r="V287" i="1"/>
  <c r="U287" i="1"/>
  <c r="T287" i="1"/>
  <c r="S287" i="1"/>
  <c r="W286" i="1"/>
  <c r="V286" i="1"/>
  <c r="U286" i="1"/>
  <c r="T286" i="1"/>
  <c r="S286" i="1"/>
  <c r="W285" i="1"/>
  <c r="V285" i="1"/>
  <c r="U285" i="1"/>
  <c r="T285" i="1"/>
  <c r="S285" i="1"/>
  <c r="W284" i="1"/>
  <c r="V284" i="1"/>
  <c r="U284" i="1"/>
  <c r="T284" i="1"/>
  <c r="S284" i="1"/>
  <c r="W283" i="1"/>
  <c r="V283" i="1"/>
  <c r="U283" i="1"/>
  <c r="T283" i="1"/>
  <c r="S283" i="1"/>
  <c r="W282" i="1"/>
  <c r="V282" i="1"/>
  <c r="U282" i="1"/>
  <c r="T282" i="1"/>
  <c r="S282" i="1"/>
  <c r="W281" i="1"/>
  <c r="V281" i="1"/>
  <c r="U281" i="1"/>
  <c r="T281" i="1"/>
  <c r="S281" i="1"/>
  <c r="W280" i="1"/>
  <c r="V280" i="1"/>
  <c r="U280" i="1"/>
  <c r="T280" i="1"/>
  <c r="S280" i="1"/>
  <c r="W279" i="1"/>
  <c r="V279" i="1"/>
  <c r="U279" i="1"/>
  <c r="T279" i="1"/>
  <c r="S279" i="1"/>
  <c r="W278" i="1"/>
  <c r="V278" i="1"/>
  <c r="U278" i="1"/>
  <c r="T278" i="1"/>
  <c r="S278" i="1"/>
  <c r="W277" i="1"/>
  <c r="V277" i="1"/>
  <c r="U277" i="1"/>
  <c r="T277" i="1"/>
  <c r="S277" i="1"/>
  <c r="W276" i="1"/>
  <c r="V276" i="1"/>
  <c r="U276" i="1"/>
  <c r="T276" i="1"/>
  <c r="S276" i="1"/>
  <c r="W275" i="1"/>
  <c r="V275" i="1"/>
  <c r="U275" i="1"/>
  <c r="T275" i="1"/>
  <c r="S275" i="1"/>
  <c r="W274" i="1"/>
  <c r="V274" i="1"/>
  <c r="U274" i="1"/>
  <c r="T274" i="1"/>
  <c r="S274" i="1"/>
  <c r="W273" i="1"/>
  <c r="V273" i="1"/>
  <c r="U273" i="1"/>
  <c r="T273" i="1"/>
  <c r="S273" i="1"/>
  <c r="W272" i="1"/>
  <c r="V272" i="1"/>
  <c r="U272" i="1"/>
  <c r="T272" i="1"/>
  <c r="S272" i="1"/>
  <c r="W271" i="1"/>
  <c r="V271" i="1"/>
  <c r="U271" i="1"/>
  <c r="T271" i="1"/>
  <c r="S271" i="1"/>
  <c r="W270" i="1"/>
  <c r="V270" i="1"/>
  <c r="U270" i="1"/>
  <c r="T270" i="1"/>
  <c r="S270" i="1"/>
  <c r="W269" i="1"/>
  <c r="V269" i="1"/>
  <c r="U269" i="1"/>
  <c r="T269" i="1"/>
  <c r="S269" i="1"/>
  <c r="W268" i="1"/>
  <c r="V268" i="1"/>
  <c r="U268" i="1"/>
  <c r="T268" i="1"/>
  <c r="S268" i="1"/>
  <c r="W267" i="1"/>
  <c r="V267" i="1"/>
  <c r="U267" i="1"/>
  <c r="T267" i="1"/>
  <c r="S267" i="1"/>
  <c r="W266" i="1"/>
  <c r="V266" i="1"/>
  <c r="U266" i="1"/>
  <c r="T266" i="1"/>
  <c r="S266" i="1"/>
  <c r="W265" i="1"/>
  <c r="V265" i="1"/>
  <c r="U265" i="1"/>
  <c r="T265" i="1"/>
  <c r="S265" i="1"/>
  <c r="W264" i="1"/>
  <c r="V264" i="1"/>
  <c r="U264" i="1"/>
  <c r="T264" i="1"/>
  <c r="S264" i="1"/>
  <c r="W263" i="1"/>
  <c r="V263" i="1"/>
  <c r="U263" i="1"/>
  <c r="T263" i="1"/>
  <c r="S263" i="1"/>
  <c r="W262" i="1"/>
  <c r="V262" i="1"/>
  <c r="U262" i="1"/>
  <c r="T262" i="1"/>
  <c r="S262" i="1"/>
  <c r="W261" i="1"/>
  <c r="V261" i="1"/>
  <c r="U261" i="1"/>
  <c r="T261" i="1"/>
  <c r="S261" i="1"/>
  <c r="W260" i="1"/>
  <c r="V260" i="1"/>
  <c r="U260" i="1"/>
  <c r="T260" i="1"/>
  <c r="S260" i="1"/>
  <c r="W259" i="1"/>
  <c r="V259" i="1"/>
  <c r="U259" i="1"/>
  <c r="T259" i="1"/>
  <c r="S259" i="1"/>
  <c r="W258" i="1"/>
  <c r="V258" i="1"/>
  <c r="U258" i="1"/>
  <c r="T258" i="1"/>
  <c r="S258" i="1"/>
  <c r="W257" i="1"/>
  <c r="V257" i="1"/>
  <c r="U257" i="1"/>
  <c r="T257" i="1"/>
  <c r="S257" i="1"/>
  <c r="W256" i="1"/>
  <c r="V256" i="1"/>
  <c r="U256" i="1"/>
  <c r="T256" i="1"/>
  <c r="S256" i="1"/>
  <c r="W255" i="1"/>
  <c r="V255" i="1"/>
  <c r="U255" i="1"/>
  <c r="T255" i="1"/>
  <c r="S255" i="1"/>
  <c r="W254" i="1"/>
  <c r="V254" i="1"/>
  <c r="U254" i="1"/>
  <c r="T254" i="1"/>
  <c r="S254" i="1"/>
  <c r="W253" i="1"/>
  <c r="V253" i="1"/>
  <c r="U253" i="1"/>
  <c r="T253" i="1"/>
  <c r="S253" i="1"/>
  <c r="W252" i="1"/>
  <c r="V252" i="1"/>
  <c r="U252" i="1"/>
  <c r="T252" i="1"/>
  <c r="S252" i="1"/>
  <c r="W251" i="1"/>
  <c r="V251" i="1"/>
  <c r="U251" i="1"/>
  <c r="T251" i="1"/>
  <c r="S251" i="1"/>
  <c r="W250" i="1"/>
  <c r="V250" i="1"/>
  <c r="U250" i="1"/>
  <c r="T250" i="1"/>
  <c r="S250" i="1"/>
  <c r="W249" i="1"/>
  <c r="V249" i="1"/>
  <c r="U249" i="1"/>
  <c r="T249" i="1"/>
  <c r="S249" i="1"/>
  <c r="W248" i="1"/>
  <c r="V248" i="1"/>
  <c r="U248" i="1"/>
  <c r="T248" i="1"/>
  <c r="S248" i="1"/>
  <c r="W247" i="1"/>
  <c r="V247" i="1"/>
  <c r="U247" i="1"/>
  <c r="T247" i="1"/>
  <c r="S247" i="1"/>
  <c r="W246" i="1"/>
  <c r="V246" i="1"/>
  <c r="U246" i="1"/>
  <c r="T246" i="1"/>
  <c r="S246" i="1"/>
  <c r="W245" i="1"/>
  <c r="V245" i="1"/>
  <c r="U245" i="1"/>
  <c r="T245" i="1"/>
  <c r="S245" i="1"/>
  <c r="W244" i="1"/>
  <c r="V244" i="1"/>
  <c r="U244" i="1"/>
  <c r="T244" i="1"/>
  <c r="S244" i="1"/>
  <c r="W243" i="1"/>
  <c r="V243" i="1"/>
  <c r="U243" i="1"/>
  <c r="T243" i="1"/>
  <c r="S243" i="1"/>
  <c r="W242" i="1"/>
  <c r="V242" i="1"/>
  <c r="U242" i="1"/>
  <c r="T242" i="1"/>
  <c r="S242" i="1"/>
  <c r="W241" i="1"/>
  <c r="V241" i="1"/>
  <c r="U241" i="1"/>
  <c r="T241" i="1"/>
  <c r="S241" i="1"/>
  <c r="W240" i="1"/>
  <c r="V240" i="1"/>
  <c r="U240" i="1"/>
  <c r="T240" i="1"/>
  <c r="S240" i="1"/>
  <c r="W239" i="1"/>
  <c r="V239" i="1"/>
  <c r="U239" i="1"/>
  <c r="T239" i="1"/>
  <c r="S239" i="1"/>
  <c r="W238" i="1"/>
  <c r="V238" i="1"/>
  <c r="U238" i="1"/>
  <c r="T238" i="1"/>
  <c r="S238" i="1"/>
  <c r="W237" i="1"/>
  <c r="V237" i="1"/>
  <c r="U237" i="1"/>
  <c r="T237" i="1"/>
  <c r="S237" i="1"/>
  <c r="W236" i="1"/>
  <c r="V236" i="1"/>
  <c r="U236" i="1"/>
  <c r="T236" i="1"/>
  <c r="S236" i="1"/>
  <c r="W235" i="1"/>
  <c r="V235" i="1"/>
  <c r="U235" i="1"/>
  <c r="T235" i="1"/>
  <c r="S235" i="1"/>
  <c r="W234" i="1"/>
  <c r="V234" i="1"/>
  <c r="U234" i="1"/>
  <c r="T234" i="1"/>
  <c r="S234" i="1"/>
  <c r="W233" i="1"/>
  <c r="V233" i="1"/>
  <c r="U233" i="1"/>
  <c r="T233" i="1"/>
  <c r="S233" i="1"/>
  <c r="W232" i="1"/>
  <c r="V232" i="1"/>
  <c r="U232" i="1"/>
  <c r="T232" i="1"/>
  <c r="S232" i="1"/>
  <c r="W231" i="1"/>
  <c r="V231" i="1"/>
  <c r="U231" i="1"/>
  <c r="T231" i="1"/>
  <c r="S231" i="1"/>
  <c r="W230" i="1"/>
  <c r="V230" i="1"/>
  <c r="U230" i="1"/>
  <c r="T230" i="1"/>
  <c r="S230" i="1"/>
  <c r="W229" i="1"/>
  <c r="V229" i="1"/>
  <c r="U229" i="1"/>
  <c r="T229" i="1"/>
  <c r="S229" i="1"/>
  <c r="W228" i="1"/>
  <c r="V228" i="1"/>
  <c r="U228" i="1"/>
  <c r="T228" i="1"/>
  <c r="S228" i="1"/>
  <c r="W227" i="1"/>
  <c r="V227" i="1"/>
  <c r="U227" i="1"/>
  <c r="T227" i="1"/>
  <c r="S227" i="1"/>
  <c r="W226" i="1"/>
  <c r="V226" i="1"/>
  <c r="U226" i="1"/>
  <c r="T226" i="1"/>
  <c r="S226" i="1"/>
  <c r="W225" i="1"/>
  <c r="V225" i="1"/>
  <c r="U225" i="1"/>
  <c r="T225" i="1"/>
  <c r="S225" i="1"/>
  <c r="W224" i="1"/>
  <c r="V224" i="1"/>
  <c r="U224" i="1"/>
  <c r="T224" i="1"/>
  <c r="S224" i="1"/>
  <c r="W223" i="1"/>
  <c r="V223" i="1"/>
  <c r="U223" i="1"/>
  <c r="T223" i="1"/>
  <c r="S223" i="1"/>
  <c r="W222" i="1"/>
  <c r="V222" i="1"/>
  <c r="U222" i="1"/>
  <c r="T222" i="1"/>
  <c r="S222" i="1"/>
  <c r="W221" i="1"/>
  <c r="V221" i="1"/>
  <c r="U221" i="1"/>
  <c r="T221" i="1"/>
  <c r="S221" i="1"/>
  <c r="W220" i="1"/>
  <c r="V220" i="1"/>
  <c r="U220" i="1"/>
  <c r="T220" i="1"/>
  <c r="S220" i="1"/>
  <c r="W219" i="1"/>
  <c r="V219" i="1"/>
  <c r="U219" i="1"/>
  <c r="T219" i="1"/>
  <c r="S219" i="1"/>
  <c r="W218" i="1"/>
  <c r="V218" i="1"/>
  <c r="U218" i="1"/>
  <c r="T218" i="1"/>
  <c r="S218" i="1"/>
  <c r="W217" i="1"/>
  <c r="V217" i="1"/>
  <c r="U217" i="1"/>
  <c r="T217" i="1"/>
  <c r="S217" i="1"/>
  <c r="W216" i="1"/>
  <c r="V216" i="1"/>
  <c r="U216" i="1"/>
  <c r="T216" i="1"/>
  <c r="S216" i="1"/>
  <c r="W215" i="1"/>
  <c r="V215" i="1"/>
  <c r="U215" i="1"/>
  <c r="T215" i="1"/>
  <c r="S215" i="1"/>
  <c r="W214" i="1"/>
  <c r="V214" i="1"/>
  <c r="U214" i="1"/>
  <c r="T214" i="1"/>
  <c r="S214" i="1"/>
  <c r="W213" i="1"/>
  <c r="V213" i="1"/>
  <c r="U213" i="1"/>
  <c r="T213" i="1"/>
  <c r="S213" i="1"/>
  <c r="W212" i="1"/>
  <c r="V212" i="1"/>
  <c r="U212" i="1"/>
  <c r="T212" i="1"/>
  <c r="S212" i="1"/>
  <c r="W211" i="1"/>
  <c r="V211" i="1"/>
  <c r="U211" i="1"/>
  <c r="T211" i="1"/>
  <c r="S211" i="1"/>
  <c r="W210" i="1"/>
  <c r="V210" i="1"/>
  <c r="U210" i="1"/>
  <c r="T210" i="1"/>
  <c r="S210" i="1"/>
  <c r="W209" i="1"/>
  <c r="V209" i="1"/>
  <c r="U209" i="1"/>
  <c r="T209" i="1"/>
  <c r="S209" i="1"/>
  <c r="W208" i="1"/>
  <c r="V208" i="1"/>
  <c r="U208" i="1"/>
  <c r="T208" i="1"/>
  <c r="S208" i="1"/>
  <c r="W207" i="1"/>
  <c r="V207" i="1"/>
  <c r="U207" i="1"/>
  <c r="T207" i="1"/>
  <c r="S207" i="1"/>
  <c r="W206" i="1"/>
  <c r="V206" i="1"/>
  <c r="U206" i="1"/>
  <c r="T206" i="1"/>
  <c r="S206" i="1"/>
  <c r="W205" i="1"/>
  <c r="V205" i="1"/>
  <c r="U205" i="1"/>
  <c r="T205" i="1"/>
  <c r="S205" i="1"/>
  <c r="W204" i="1"/>
  <c r="V204" i="1"/>
  <c r="U204" i="1"/>
  <c r="T204" i="1"/>
  <c r="S204" i="1"/>
  <c r="W203" i="1"/>
  <c r="V203" i="1"/>
  <c r="U203" i="1"/>
  <c r="T203" i="1"/>
  <c r="S203" i="1"/>
  <c r="W202" i="1"/>
  <c r="V202" i="1"/>
  <c r="U202" i="1"/>
  <c r="T202" i="1"/>
  <c r="S202" i="1"/>
  <c r="W201" i="1"/>
  <c r="V201" i="1"/>
  <c r="U201" i="1"/>
  <c r="T201" i="1"/>
  <c r="S201" i="1"/>
  <c r="W200" i="1"/>
  <c r="V200" i="1"/>
  <c r="U200" i="1"/>
  <c r="T200" i="1"/>
  <c r="S200" i="1"/>
  <c r="W199" i="1"/>
  <c r="V199" i="1"/>
  <c r="U199" i="1"/>
  <c r="T199" i="1"/>
  <c r="S199" i="1"/>
  <c r="W198" i="1"/>
  <c r="V198" i="1"/>
  <c r="U198" i="1"/>
  <c r="T198" i="1"/>
  <c r="S198" i="1"/>
  <c r="W197" i="1"/>
  <c r="V197" i="1"/>
  <c r="U197" i="1"/>
  <c r="T197" i="1"/>
  <c r="S197" i="1"/>
  <c r="W196" i="1"/>
  <c r="V196" i="1"/>
  <c r="U196" i="1"/>
  <c r="T196" i="1"/>
  <c r="S196" i="1"/>
  <c r="W195" i="1"/>
  <c r="V195" i="1"/>
  <c r="U195" i="1"/>
  <c r="T195" i="1"/>
  <c r="S195" i="1"/>
  <c r="W194" i="1"/>
  <c r="V194" i="1"/>
  <c r="U194" i="1"/>
  <c r="T194" i="1"/>
  <c r="S194" i="1"/>
  <c r="W193" i="1"/>
  <c r="V193" i="1"/>
  <c r="U193" i="1"/>
  <c r="T193" i="1"/>
  <c r="S193" i="1"/>
  <c r="W192" i="1"/>
  <c r="V192" i="1"/>
  <c r="U192" i="1"/>
  <c r="T192" i="1"/>
  <c r="S192" i="1"/>
  <c r="W191" i="1"/>
  <c r="V191" i="1"/>
  <c r="U191" i="1"/>
  <c r="T191" i="1"/>
  <c r="S191" i="1"/>
  <c r="W190" i="1"/>
  <c r="V190" i="1"/>
  <c r="U190" i="1"/>
  <c r="T190" i="1"/>
  <c r="S190" i="1"/>
  <c r="W189" i="1"/>
  <c r="V189" i="1"/>
  <c r="U189" i="1"/>
  <c r="T189" i="1"/>
  <c r="S189" i="1"/>
  <c r="W188" i="1"/>
  <c r="V188" i="1"/>
  <c r="U188" i="1"/>
  <c r="T188" i="1"/>
  <c r="S188" i="1"/>
  <c r="W187" i="1"/>
  <c r="V187" i="1"/>
  <c r="U187" i="1"/>
  <c r="T187" i="1"/>
  <c r="S187" i="1"/>
  <c r="W186" i="1"/>
  <c r="V186" i="1"/>
  <c r="U186" i="1"/>
  <c r="T186" i="1"/>
  <c r="S186" i="1"/>
  <c r="W185" i="1"/>
  <c r="V185" i="1"/>
  <c r="U185" i="1"/>
  <c r="T185" i="1"/>
  <c r="S185" i="1"/>
  <c r="W184" i="1"/>
  <c r="V184" i="1"/>
  <c r="U184" i="1"/>
  <c r="T184" i="1"/>
  <c r="S184" i="1"/>
  <c r="W183" i="1"/>
  <c r="V183" i="1"/>
  <c r="U183" i="1"/>
  <c r="T183" i="1"/>
  <c r="S183" i="1"/>
  <c r="W182" i="1"/>
  <c r="V182" i="1"/>
  <c r="U182" i="1"/>
  <c r="T182" i="1"/>
  <c r="S182" i="1"/>
  <c r="W181" i="1"/>
  <c r="V181" i="1"/>
  <c r="U181" i="1"/>
  <c r="T181" i="1"/>
  <c r="S181" i="1"/>
  <c r="W180" i="1"/>
  <c r="V180" i="1"/>
  <c r="U180" i="1"/>
  <c r="T180" i="1"/>
  <c r="S180" i="1"/>
  <c r="W179" i="1"/>
  <c r="V179" i="1"/>
  <c r="U179" i="1"/>
  <c r="T179" i="1"/>
  <c r="S179" i="1"/>
  <c r="W178" i="1"/>
  <c r="V178" i="1"/>
  <c r="U178" i="1"/>
  <c r="T178" i="1"/>
  <c r="S178" i="1"/>
  <c r="W177" i="1"/>
  <c r="V177" i="1"/>
  <c r="U177" i="1"/>
  <c r="T177" i="1"/>
  <c r="S177" i="1"/>
  <c r="W176" i="1"/>
  <c r="V176" i="1"/>
  <c r="U176" i="1"/>
  <c r="T176" i="1"/>
  <c r="S176" i="1"/>
  <c r="W175" i="1"/>
  <c r="V175" i="1"/>
  <c r="U175" i="1"/>
  <c r="T175" i="1"/>
  <c r="S175" i="1"/>
  <c r="W174" i="1"/>
  <c r="V174" i="1"/>
  <c r="U174" i="1"/>
  <c r="T174" i="1"/>
  <c r="S174" i="1"/>
  <c r="W173" i="1"/>
  <c r="V173" i="1"/>
  <c r="U173" i="1"/>
  <c r="T173" i="1"/>
  <c r="S173" i="1"/>
  <c r="W172" i="1"/>
  <c r="V172" i="1"/>
  <c r="U172" i="1"/>
  <c r="T172" i="1"/>
  <c r="S172" i="1"/>
  <c r="W171" i="1"/>
  <c r="V171" i="1"/>
  <c r="U171" i="1"/>
  <c r="T171" i="1"/>
  <c r="S171" i="1"/>
  <c r="W170" i="1"/>
  <c r="V170" i="1"/>
  <c r="U170" i="1"/>
  <c r="T170" i="1"/>
  <c r="S170" i="1"/>
  <c r="W169" i="1"/>
  <c r="V169" i="1"/>
  <c r="U169" i="1"/>
  <c r="T169" i="1"/>
  <c r="S169" i="1"/>
  <c r="W168" i="1"/>
  <c r="V168" i="1"/>
  <c r="U168" i="1"/>
  <c r="T168" i="1"/>
  <c r="S168" i="1"/>
  <c r="W167" i="1"/>
  <c r="V167" i="1"/>
  <c r="U167" i="1"/>
  <c r="T167" i="1"/>
  <c r="S167" i="1"/>
  <c r="W166" i="1"/>
  <c r="V166" i="1"/>
  <c r="U166" i="1"/>
  <c r="T166" i="1"/>
  <c r="S166" i="1"/>
  <c r="W165" i="1"/>
  <c r="V165" i="1"/>
  <c r="U165" i="1"/>
  <c r="T165" i="1"/>
  <c r="S165" i="1"/>
  <c r="W164" i="1"/>
  <c r="V164" i="1"/>
  <c r="U164" i="1"/>
  <c r="T164" i="1"/>
  <c r="S164" i="1"/>
  <c r="W163" i="1"/>
  <c r="V163" i="1"/>
  <c r="U163" i="1"/>
  <c r="T163" i="1"/>
  <c r="S163" i="1"/>
  <c r="W162" i="1"/>
  <c r="V162" i="1"/>
  <c r="U162" i="1"/>
  <c r="T162" i="1"/>
  <c r="S162" i="1"/>
  <c r="W161" i="1"/>
  <c r="V161" i="1"/>
  <c r="U161" i="1"/>
  <c r="T161" i="1"/>
  <c r="S161" i="1"/>
  <c r="W160" i="1"/>
  <c r="V160" i="1"/>
  <c r="U160" i="1"/>
  <c r="T160" i="1"/>
  <c r="S160" i="1"/>
  <c r="W159" i="1"/>
  <c r="V159" i="1"/>
  <c r="U159" i="1"/>
  <c r="T159" i="1"/>
  <c r="S159" i="1"/>
  <c r="W158" i="1"/>
  <c r="V158" i="1"/>
  <c r="U158" i="1"/>
  <c r="T158" i="1"/>
  <c r="S158" i="1"/>
  <c r="W157" i="1"/>
  <c r="V157" i="1"/>
  <c r="U157" i="1"/>
  <c r="T157" i="1"/>
  <c r="S157" i="1"/>
  <c r="W156" i="1"/>
  <c r="V156" i="1"/>
  <c r="U156" i="1"/>
  <c r="T156" i="1"/>
  <c r="S156" i="1"/>
  <c r="W155" i="1"/>
  <c r="V155" i="1"/>
  <c r="U155" i="1"/>
  <c r="T155" i="1"/>
  <c r="S155" i="1"/>
  <c r="W154" i="1"/>
  <c r="V154" i="1"/>
  <c r="U154" i="1"/>
  <c r="T154" i="1"/>
  <c r="S154" i="1"/>
  <c r="W153" i="1"/>
  <c r="V153" i="1"/>
  <c r="U153" i="1"/>
  <c r="T153" i="1"/>
  <c r="S153" i="1"/>
  <c r="W152" i="1"/>
  <c r="V152" i="1"/>
  <c r="U152" i="1"/>
  <c r="T152" i="1"/>
  <c r="S152" i="1"/>
  <c r="W151" i="1"/>
  <c r="V151" i="1"/>
  <c r="U151" i="1"/>
  <c r="T151" i="1"/>
  <c r="S151" i="1"/>
  <c r="W150" i="1"/>
  <c r="V150" i="1"/>
  <c r="U150" i="1"/>
  <c r="T150" i="1"/>
  <c r="S150" i="1"/>
  <c r="W149" i="1"/>
  <c r="V149" i="1"/>
  <c r="U149" i="1"/>
  <c r="T149" i="1"/>
  <c r="S149" i="1"/>
  <c r="W148" i="1"/>
  <c r="V148" i="1"/>
  <c r="U148" i="1"/>
  <c r="T148" i="1"/>
  <c r="S148" i="1"/>
  <c r="W147" i="1"/>
  <c r="V147" i="1"/>
  <c r="U147" i="1"/>
  <c r="T147" i="1"/>
  <c r="S147" i="1"/>
  <c r="W146" i="1"/>
  <c r="V146" i="1"/>
  <c r="U146" i="1"/>
  <c r="T146" i="1"/>
  <c r="S146" i="1"/>
  <c r="W145" i="1"/>
  <c r="V145" i="1"/>
  <c r="U145" i="1"/>
  <c r="T145" i="1"/>
  <c r="S145" i="1"/>
  <c r="W144" i="1"/>
  <c r="V144" i="1"/>
  <c r="U144" i="1"/>
  <c r="T144" i="1"/>
  <c r="S144" i="1"/>
  <c r="W143" i="1"/>
  <c r="V143" i="1"/>
  <c r="U143" i="1"/>
  <c r="T143" i="1"/>
  <c r="S143" i="1"/>
  <c r="W142" i="1"/>
  <c r="V142" i="1"/>
  <c r="U142" i="1"/>
  <c r="T142" i="1"/>
  <c r="S142" i="1"/>
  <c r="W141" i="1"/>
  <c r="V141" i="1"/>
  <c r="U141" i="1"/>
  <c r="T141" i="1"/>
  <c r="S141" i="1"/>
  <c r="W140" i="1"/>
  <c r="V140" i="1"/>
  <c r="U140" i="1"/>
  <c r="T140" i="1"/>
  <c r="S140" i="1"/>
  <c r="W139" i="1"/>
  <c r="V139" i="1"/>
  <c r="U139" i="1"/>
  <c r="T139" i="1"/>
  <c r="S139" i="1"/>
  <c r="W138" i="1"/>
  <c r="V138" i="1"/>
  <c r="U138" i="1"/>
  <c r="T138" i="1"/>
  <c r="S138" i="1"/>
  <c r="W137" i="1"/>
  <c r="V137" i="1"/>
  <c r="U137" i="1"/>
  <c r="T137" i="1"/>
  <c r="S137" i="1"/>
  <c r="W136" i="1"/>
  <c r="V136" i="1"/>
  <c r="U136" i="1"/>
  <c r="T136" i="1"/>
  <c r="S136" i="1"/>
  <c r="W135" i="1"/>
  <c r="V135" i="1"/>
  <c r="U135" i="1"/>
  <c r="T135" i="1"/>
  <c r="S135" i="1"/>
  <c r="W134" i="1"/>
  <c r="V134" i="1"/>
  <c r="U134" i="1"/>
  <c r="T134" i="1"/>
  <c r="S134" i="1"/>
  <c r="W133" i="1"/>
  <c r="V133" i="1"/>
  <c r="U133" i="1"/>
  <c r="T133" i="1"/>
  <c r="S133" i="1"/>
  <c r="W132" i="1"/>
  <c r="V132" i="1"/>
  <c r="U132" i="1"/>
  <c r="T132" i="1"/>
  <c r="S132" i="1"/>
  <c r="W131" i="1"/>
  <c r="V131" i="1"/>
  <c r="U131" i="1"/>
  <c r="T131" i="1"/>
  <c r="S131" i="1"/>
  <c r="W130" i="1"/>
  <c r="V130" i="1"/>
  <c r="U130" i="1"/>
  <c r="T130" i="1"/>
  <c r="S130" i="1"/>
  <c r="W129" i="1"/>
  <c r="V129" i="1"/>
  <c r="U129" i="1"/>
  <c r="T129" i="1"/>
  <c r="S129" i="1"/>
  <c r="W128" i="1"/>
  <c r="V128" i="1"/>
  <c r="U128" i="1"/>
  <c r="T128" i="1"/>
  <c r="S128" i="1"/>
  <c r="W127" i="1"/>
  <c r="V127" i="1"/>
  <c r="U127" i="1"/>
  <c r="T127" i="1"/>
  <c r="S127" i="1"/>
  <c r="W126" i="1"/>
  <c r="V126" i="1"/>
  <c r="U126" i="1"/>
  <c r="T126" i="1"/>
  <c r="S126" i="1"/>
  <c r="W125" i="1"/>
  <c r="V125" i="1"/>
  <c r="U125" i="1"/>
  <c r="T125" i="1"/>
  <c r="S125" i="1"/>
  <c r="W124" i="1"/>
  <c r="V124" i="1"/>
  <c r="U124" i="1"/>
  <c r="T124" i="1"/>
  <c r="S124" i="1"/>
  <c r="W123" i="1"/>
  <c r="V123" i="1"/>
  <c r="U123" i="1"/>
  <c r="T123" i="1"/>
  <c r="S123" i="1"/>
  <c r="W122" i="1"/>
  <c r="V122" i="1"/>
  <c r="U122" i="1"/>
  <c r="T122" i="1"/>
  <c r="S122" i="1"/>
  <c r="W121" i="1"/>
  <c r="V121" i="1"/>
  <c r="U121" i="1"/>
  <c r="T121" i="1"/>
  <c r="S121" i="1"/>
  <c r="W120" i="1"/>
  <c r="V120" i="1"/>
  <c r="U120" i="1"/>
  <c r="T120" i="1"/>
  <c r="S120" i="1"/>
  <c r="W119" i="1"/>
  <c r="V119" i="1"/>
  <c r="U119" i="1"/>
  <c r="T119" i="1"/>
  <c r="S119" i="1"/>
  <c r="W118" i="1"/>
  <c r="V118" i="1"/>
  <c r="U118" i="1"/>
  <c r="T118" i="1"/>
  <c r="S118" i="1"/>
  <c r="W117" i="1"/>
  <c r="V117" i="1"/>
  <c r="U117" i="1"/>
  <c r="T117" i="1"/>
  <c r="S117" i="1"/>
  <c r="W116" i="1"/>
  <c r="V116" i="1"/>
  <c r="U116" i="1"/>
  <c r="T116" i="1"/>
  <c r="S116" i="1"/>
  <c r="W115" i="1"/>
  <c r="V115" i="1"/>
  <c r="U115" i="1"/>
  <c r="T115" i="1"/>
  <c r="S115" i="1"/>
  <c r="W114" i="1"/>
  <c r="V114" i="1"/>
  <c r="U114" i="1"/>
  <c r="T114" i="1"/>
  <c r="S114" i="1"/>
  <c r="W113" i="1"/>
  <c r="V113" i="1"/>
  <c r="U113" i="1"/>
  <c r="T113" i="1"/>
  <c r="S113" i="1"/>
  <c r="W112" i="1"/>
  <c r="V112" i="1"/>
  <c r="U112" i="1"/>
  <c r="T112" i="1"/>
  <c r="S112" i="1"/>
  <c r="W111" i="1"/>
  <c r="V111" i="1"/>
  <c r="U111" i="1"/>
  <c r="T111" i="1"/>
  <c r="S111" i="1"/>
  <c r="W110" i="1"/>
  <c r="V110" i="1"/>
  <c r="U110" i="1"/>
  <c r="T110" i="1"/>
  <c r="S110" i="1"/>
  <c r="W109" i="1"/>
  <c r="V109" i="1"/>
  <c r="U109" i="1"/>
  <c r="T109" i="1"/>
  <c r="S109" i="1"/>
  <c r="W108" i="1"/>
  <c r="V108" i="1"/>
  <c r="U108" i="1"/>
  <c r="T108" i="1"/>
  <c r="S108" i="1"/>
  <c r="W107" i="1"/>
  <c r="V107" i="1"/>
  <c r="U107" i="1"/>
  <c r="T107" i="1"/>
  <c r="S107" i="1"/>
  <c r="W106" i="1"/>
  <c r="V106" i="1"/>
  <c r="U106" i="1"/>
  <c r="T106" i="1"/>
  <c r="S106" i="1"/>
  <c r="W100" i="1"/>
  <c r="V100" i="1"/>
  <c r="U100" i="1"/>
  <c r="T100" i="1"/>
  <c r="S100" i="1"/>
  <c r="W99" i="1"/>
  <c r="V99" i="1"/>
  <c r="U99" i="1"/>
  <c r="T99" i="1"/>
  <c r="T101" i="1" s="1"/>
  <c r="S99" i="1"/>
  <c r="W98" i="1"/>
  <c r="V98" i="1"/>
  <c r="U98" i="1"/>
  <c r="T98" i="1"/>
  <c r="S98" i="1"/>
  <c r="W97" i="1"/>
  <c r="V97" i="1"/>
  <c r="U97" i="1"/>
  <c r="T97" i="1"/>
  <c r="S97" i="1"/>
  <c r="W96" i="1"/>
  <c r="V96" i="1"/>
  <c r="U96" i="1"/>
  <c r="U101" i="1" s="1"/>
  <c r="T96" i="1"/>
  <c r="S96" i="1"/>
  <c r="S101" i="1" s="1"/>
  <c r="W95" i="1"/>
  <c r="W101" i="1" s="1"/>
  <c r="V95" i="1"/>
  <c r="V101" i="1" s="1"/>
  <c r="U95" i="1"/>
  <c r="T95" i="1"/>
  <c r="S95" i="1"/>
  <c r="W94" i="1"/>
  <c r="V94" i="1"/>
  <c r="U94" i="1"/>
  <c r="T94" i="1"/>
  <c r="S94" i="1"/>
  <c r="W93" i="1"/>
  <c r="V93" i="1"/>
  <c r="U93" i="1"/>
  <c r="T93" i="1"/>
  <c r="S93" i="1"/>
  <c r="W92" i="1"/>
  <c r="V92" i="1"/>
  <c r="U92" i="1"/>
  <c r="T92" i="1"/>
  <c r="S92" i="1"/>
  <c r="W91" i="1"/>
  <c r="V91" i="1"/>
  <c r="U91" i="1"/>
  <c r="T91" i="1"/>
  <c r="S91" i="1"/>
  <c r="W90" i="1"/>
  <c r="V90" i="1"/>
  <c r="U90" i="1"/>
  <c r="T90" i="1"/>
  <c r="S90" i="1"/>
  <c r="W89" i="1"/>
  <c r="V89" i="1"/>
  <c r="U89" i="1"/>
  <c r="T89" i="1"/>
  <c r="S89" i="1"/>
  <c r="W88" i="1"/>
  <c r="V88" i="1"/>
  <c r="U88" i="1"/>
  <c r="T88" i="1"/>
  <c r="S88" i="1"/>
  <c r="W87" i="1"/>
  <c r="V87" i="1"/>
  <c r="U87" i="1"/>
  <c r="T87" i="1"/>
  <c r="S87" i="1"/>
  <c r="W86" i="1"/>
  <c r="V86" i="1"/>
  <c r="U86" i="1"/>
  <c r="T86" i="1"/>
  <c r="S86" i="1"/>
  <c r="W85" i="1"/>
  <c r="V85" i="1"/>
  <c r="U85" i="1"/>
  <c r="T85" i="1"/>
  <c r="S85" i="1"/>
  <c r="W84" i="1"/>
  <c r="V84" i="1"/>
  <c r="U84" i="1"/>
  <c r="T84" i="1"/>
  <c r="S84" i="1"/>
  <c r="W83" i="1"/>
  <c r="V83" i="1"/>
  <c r="U83" i="1"/>
  <c r="T83" i="1"/>
  <c r="S83" i="1"/>
  <c r="W82" i="1"/>
  <c r="V82" i="1"/>
  <c r="U82" i="1"/>
  <c r="T82" i="1"/>
  <c r="S82" i="1"/>
  <c r="W81" i="1"/>
  <c r="V81" i="1"/>
  <c r="U81" i="1"/>
  <c r="T81" i="1"/>
  <c r="S81" i="1"/>
  <c r="W80" i="1"/>
  <c r="V80" i="1"/>
  <c r="U80" i="1"/>
  <c r="T80" i="1"/>
  <c r="S80" i="1"/>
  <c r="W79" i="1"/>
  <c r="V79" i="1"/>
  <c r="U79" i="1"/>
  <c r="T79" i="1"/>
  <c r="S79" i="1"/>
  <c r="W78" i="1"/>
  <c r="V78" i="1"/>
  <c r="U78" i="1"/>
  <c r="T78" i="1"/>
  <c r="S78" i="1"/>
  <c r="W77" i="1"/>
  <c r="V77" i="1"/>
  <c r="U77" i="1"/>
  <c r="T77" i="1"/>
  <c r="S77" i="1"/>
  <c r="W76" i="1"/>
  <c r="V76" i="1"/>
  <c r="U76" i="1"/>
  <c r="T76" i="1"/>
  <c r="S76" i="1"/>
  <c r="W75" i="1"/>
  <c r="V75" i="1"/>
  <c r="U75" i="1"/>
  <c r="T75" i="1"/>
  <c r="S75" i="1"/>
  <c r="W74" i="1"/>
  <c r="V74" i="1"/>
  <c r="U74" i="1"/>
  <c r="T74" i="1"/>
  <c r="S74" i="1"/>
  <c r="W73" i="1"/>
  <c r="V73" i="1"/>
  <c r="U73" i="1"/>
  <c r="T73" i="1"/>
  <c r="S73" i="1"/>
  <c r="W72" i="1"/>
  <c r="V72" i="1"/>
  <c r="U72" i="1"/>
  <c r="T72" i="1"/>
  <c r="S72" i="1"/>
  <c r="W71" i="1"/>
  <c r="V71" i="1"/>
  <c r="U71" i="1"/>
  <c r="T71" i="1"/>
  <c r="S71" i="1"/>
  <c r="W70" i="1"/>
  <c r="V70" i="1"/>
  <c r="U70" i="1"/>
  <c r="T70" i="1"/>
  <c r="S70" i="1"/>
  <c r="W69" i="1"/>
  <c r="V69" i="1"/>
  <c r="U69" i="1"/>
  <c r="T69" i="1"/>
  <c r="S69" i="1"/>
  <c r="W68" i="1"/>
  <c r="V68" i="1"/>
  <c r="U68" i="1"/>
  <c r="T68" i="1"/>
  <c r="S68" i="1"/>
  <c r="W67" i="1"/>
  <c r="V67" i="1"/>
  <c r="U67" i="1"/>
  <c r="T67" i="1"/>
  <c r="S67" i="1"/>
  <c r="W66" i="1"/>
  <c r="V66" i="1"/>
  <c r="U66" i="1"/>
  <c r="T66" i="1"/>
  <c r="S66" i="1"/>
  <c r="W65" i="1"/>
  <c r="V65" i="1"/>
  <c r="U65" i="1"/>
  <c r="T65" i="1"/>
  <c r="S65" i="1"/>
  <c r="W64" i="1"/>
  <c r="V64" i="1"/>
  <c r="U64" i="1"/>
  <c r="T64" i="1"/>
  <c r="S64" i="1"/>
  <c r="W63" i="1"/>
  <c r="V63" i="1"/>
  <c r="U63" i="1"/>
  <c r="T63" i="1"/>
  <c r="S63" i="1"/>
  <c r="W62" i="1"/>
  <c r="V62" i="1"/>
  <c r="U62" i="1"/>
  <c r="T62" i="1"/>
  <c r="S62" i="1"/>
  <c r="W61" i="1"/>
  <c r="V61" i="1"/>
  <c r="U61" i="1"/>
  <c r="T61" i="1"/>
  <c r="S61" i="1"/>
  <c r="W60" i="1"/>
  <c r="V60" i="1"/>
  <c r="U60" i="1"/>
  <c r="T60" i="1"/>
  <c r="S60" i="1"/>
  <c r="W59" i="1"/>
  <c r="V59" i="1"/>
  <c r="U59" i="1"/>
  <c r="T59" i="1"/>
  <c r="S59" i="1"/>
  <c r="W58" i="1"/>
  <c r="V58" i="1"/>
  <c r="U58" i="1"/>
  <c r="T58" i="1"/>
  <c r="S58" i="1"/>
  <c r="W57" i="1"/>
  <c r="V57" i="1"/>
  <c r="U57" i="1"/>
  <c r="T57" i="1"/>
  <c r="S57" i="1"/>
  <c r="W56" i="1"/>
  <c r="V56" i="1"/>
  <c r="U56" i="1"/>
  <c r="T56" i="1"/>
  <c r="S56" i="1"/>
  <c r="V55" i="1"/>
  <c r="U55" i="1"/>
  <c r="T55" i="1"/>
  <c r="S55" i="1"/>
  <c r="W54" i="1"/>
  <c r="V54" i="1"/>
  <c r="U54" i="1"/>
  <c r="T54" i="1"/>
  <c r="S54" i="1"/>
  <c r="W53" i="1"/>
  <c r="V53" i="1"/>
  <c r="U53" i="1"/>
  <c r="T53" i="1"/>
  <c r="S53" i="1"/>
  <c r="W52" i="1"/>
  <c r="V52" i="1"/>
  <c r="U52" i="1"/>
  <c r="T52" i="1"/>
  <c r="S52" i="1"/>
  <c r="W51" i="1"/>
  <c r="V51" i="1"/>
  <c r="U51" i="1"/>
  <c r="T51" i="1"/>
  <c r="S51" i="1"/>
  <c r="W50" i="1"/>
  <c r="V50" i="1"/>
  <c r="U50" i="1"/>
  <c r="T50" i="1"/>
  <c r="S50" i="1"/>
  <c r="W49" i="1"/>
  <c r="V49" i="1"/>
  <c r="U49" i="1"/>
  <c r="T49" i="1"/>
  <c r="S49" i="1"/>
  <c r="W48" i="1"/>
  <c r="V48" i="1"/>
  <c r="U48" i="1"/>
  <c r="T48" i="1"/>
  <c r="S48" i="1"/>
  <c r="W47" i="1"/>
  <c r="V47" i="1"/>
  <c r="U47" i="1"/>
  <c r="T47" i="1"/>
  <c r="S47" i="1"/>
  <c r="W46" i="1"/>
  <c r="V46" i="1"/>
  <c r="U46" i="1"/>
  <c r="T46" i="1"/>
  <c r="S46" i="1"/>
  <c r="W45" i="1"/>
  <c r="V45" i="1"/>
  <c r="U45" i="1"/>
  <c r="T45" i="1"/>
  <c r="S45" i="1"/>
  <c r="W44" i="1"/>
  <c r="V44" i="1"/>
  <c r="U44" i="1"/>
  <c r="T44" i="1"/>
  <c r="S44" i="1"/>
  <c r="W43" i="1"/>
  <c r="V43" i="1"/>
  <c r="U43" i="1"/>
  <c r="T43" i="1"/>
  <c r="S43" i="1"/>
  <c r="W42" i="1"/>
  <c r="V42" i="1"/>
  <c r="U42" i="1"/>
  <c r="T42" i="1"/>
  <c r="S42" i="1"/>
  <c r="W41" i="1"/>
  <c r="V41" i="1"/>
  <c r="U41" i="1"/>
  <c r="T41" i="1"/>
  <c r="S41" i="1"/>
  <c r="W40" i="1"/>
  <c r="V40" i="1"/>
  <c r="U40" i="1"/>
  <c r="T40" i="1"/>
  <c r="S40" i="1"/>
  <c r="W39" i="1"/>
  <c r="V39" i="1"/>
  <c r="U39" i="1"/>
  <c r="T39" i="1"/>
  <c r="S39" i="1"/>
  <c r="W38" i="1"/>
  <c r="V38" i="1"/>
  <c r="U38" i="1"/>
  <c r="T38" i="1"/>
  <c r="S38" i="1"/>
  <c r="W37" i="1"/>
  <c r="V37" i="1"/>
  <c r="U37" i="1"/>
  <c r="T37" i="1"/>
  <c r="S37" i="1"/>
  <c r="W36" i="1"/>
  <c r="V36" i="1"/>
  <c r="U36" i="1"/>
  <c r="T36" i="1"/>
  <c r="S36" i="1"/>
  <c r="W35" i="1"/>
  <c r="V35" i="1"/>
  <c r="U35" i="1"/>
  <c r="T35" i="1"/>
  <c r="S35" i="1"/>
  <c r="W34" i="1"/>
  <c r="V34" i="1"/>
  <c r="U34" i="1"/>
  <c r="T34" i="1"/>
  <c r="S34" i="1"/>
  <c r="W33" i="1"/>
  <c r="V33" i="1"/>
  <c r="U33" i="1"/>
  <c r="T33" i="1"/>
  <c r="S33" i="1"/>
  <c r="W32" i="1"/>
  <c r="V32" i="1"/>
  <c r="U32" i="1"/>
  <c r="T32" i="1"/>
  <c r="S32" i="1"/>
  <c r="W31" i="1"/>
  <c r="V31" i="1"/>
  <c r="U31" i="1"/>
  <c r="T31" i="1"/>
  <c r="S31" i="1"/>
  <c r="W30" i="1"/>
  <c r="V30" i="1"/>
  <c r="U30" i="1"/>
  <c r="T30" i="1"/>
  <c r="S30" i="1"/>
  <c r="W29" i="1"/>
  <c r="V29" i="1"/>
  <c r="U29" i="1"/>
  <c r="T29" i="1"/>
  <c r="S29" i="1"/>
  <c r="W28" i="1"/>
  <c r="V28" i="1"/>
  <c r="U28" i="1"/>
  <c r="T28" i="1"/>
  <c r="S28" i="1"/>
  <c r="W27" i="1"/>
  <c r="V27" i="1"/>
  <c r="U27" i="1"/>
  <c r="T27" i="1"/>
  <c r="S27" i="1"/>
  <c r="W26" i="1"/>
  <c r="V26" i="1"/>
  <c r="U26" i="1"/>
  <c r="T26" i="1"/>
  <c r="S26" i="1"/>
  <c r="W25" i="1"/>
  <c r="V25" i="1"/>
  <c r="U25" i="1"/>
  <c r="T25" i="1"/>
  <c r="S25" i="1"/>
  <c r="W24" i="1"/>
  <c r="V24" i="1"/>
  <c r="U24" i="1"/>
  <c r="T24" i="1"/>
  <c r="S24" i="1"/>
  <c r="W23" i="1"/>
  <c r="V23" i="1"/>
  <c r="U23" i="1"/>
  <c r="T23" i="1"/>
  <c r="S23" i="1"/>
  <c r="W22" i="1"/>
  <c r="V22" i="1"/>
  <c r="U22" i="1"/>
  <c r="T22" i="1"/>
  <c r="S22" i="1"/>
  <c r="W21" i="1"/>
  <c r="V21" i="1"/>
  <c r="U21" i="1"/>
  <c r="T21" i="1"/>
  <c r="S21" i="1"/>
  <c r="W20" i="1"/>
  <c r="V20" i="1"/>
  <c r="U20" i="1"/>
  <c r="T20" i="1"/>
  <c r="S20" i="1"/>
  <c r="W19" i="1"/>
  <c r="V19" i="1"/>
  <c r="U19" i="1"/>
  <c r="T19" i="1"/>
  <c r="S19" i="1"/>
  <c r="W18" i="1"/>
  <c r="V18" i="1"/>
  <c r="U18" i="1"/>
  <c r="T18" i="1"/>
  <c r="S18" i="1"/>
  <c r="W17" i="1"/>
  <c r="V17" i="1"/>
  <c r="U17" i="1"/>
  <c r="T17" i="1"/>
  <c r="S17" i="1"/>
  <c r="W16" i="1"/>
  <c r="V16" i="1"/>
  <c r="U16" i="1"/>
  <c r="T16" i="1"/>
  <c r="S16" i="1"/>
  <c r="W15" i="1"/>
  <c r="V15" i="1"/>
  <c r="U15" i="1"/>
  <c r="T15" i="1"/>
  <c r="S15" i="1"/>
  <c r="W14" i="1"/>
  <c r="V14" i="1"/>
  <c r="U14" i="1"/>
  <c r="T14" i="1"/>
  <c r="S14" i="1"/>
  <c r="W13" i="1"/>
  <c r="V13" i="1"/>
  <c r="U13" i="1"/>
  <c r="T13" i="1"/>
  <c r="S13" i="1"/>
  <c r="W12" i="1"/>
  <c r="V12" i="1"/>
  <c r="U12" i="1"/>
  <c r="T12" i="1"/>
  <c r="S12" i="1"/>
  <c r="W11" i="1"/>
  <c r="V11" i="1"/>
  <c r="U11" i="1"/>
  <c r="T11" i="1"/>
  <c r="S11" i="1"/>
  <c r="W10" i="1"/>
  <c r="V10" i="1"/>
  <c r="U10" i="1"/>
  <c r="T10" i="1"/>
  <c r="S10" i="1"/>
  <c r="W9" i="1"/>
  <c r="V9" i="1"/>
  <c r="U9" i="1"/>
  <c r="T9" i="1"/>
  <c r="S9" i="1"/>
  <c r="W8" i="1"/>
  <c r="V8" i="1"/>
  <c r="U8" i="1"/>
  <c r="T8" i="1"/>
  <c r="S8" i="1"/>
  <c r="I103" i="12"/>
  <c r="E103" i="12"/>
  <c r="W55" i="1"/>
  <c r="E15" i="5"/>
  <c r="F15" i="5"/>
  <c r="G15" i="5"/>
  <c r="H15" i="5"/>
  <c r="I15" i="5"/>
  <c r="J15" i="5" s="1"/>
  <c r="K15" i="5" s="1"/>
  <c r="L15" i="5" s="1"/>
  <c r="M15" i="5" s="1"/>
  <c r="N15" i="5" s="1"/>
  <c r="O15" i="5" s="1"/>
  <c r="P15" i="5" s="1"/>
  <c r="G36" i="6"/>
  <c r="G35" i="6"/>
  <c r="G34" i="6"/>
  <c r="G33" i="6"/>
  <c r="E16" i="5"/>
  <c r="F16" i="5"/>
  <c r="G16" i="5" s="1"/>
  <c r="H16" i="5" s="1"/>
  <c r="I16" i="5" s="1"/>
  <c r="J16" i="5" s="1"/>
  <c r="K16" i="5" s="1"/>
  <c r="L16" i="5" s="1"/>
  <c r="M16" i="5" s="1"/>
  <c r="N16" i="5" s="1"/>
  <c r="O16" i="5" s="1"/>
  <c r="P16" i="5" s="1"/>
  <c r="G32" i="6"/>
  <c r="G31" i="6"/>
  <c r="G19" i="6"/>
  <c r="G24" i="6"/>
  <c r="G23" i="6"/>
  <c r="G22" i="6"/>
  <c r="G21" i="6"/>
  <c r="G20" i="6"/>
  <c r="E12" i="5"/>
  <c r="F12" i="5"/>
  <c r="R110" i="11"/>
  <c r="R107" i="11"/>
  <c r="R103" i="11"/>
  <c r="R98" i="11"/>
  <c r="R88" i="11"/>
  <c r="R77" i="11"/>
  <c r="R71" i="11"/>
  <c r="C65" i="11"/>
  <c r="C64" i="11"/>
  <c r="H64" i="11" s="1" a="1"/>
  <c r="H64" i="11" s="1"/>
  <c r="C63" i="11"/>
  <c r="H63" i="11" s="1" a="1"/>
  <c r="H63" i="11" s="1"/>
  <c r="C62" i="11"/>
  <c r="R60" i="11"/>
  <c r="R48" i="11"/>
  <c r="R19" i="11"/>
  <c r="N18" i="11" a="1"/>
  <c r="N18" i="11" s="1"/>
  <c r="K18" i="11" a="1"/>
  <c r="K18" i="11" s="1"/>
  <c r="H18" i="11" a="1"/>
  <c r="H18" i="11" s="1"/>
  <c r="E18" i="11" a="1"/>
  <c r="E18" i="11" s="1"/>
  <c r="E23" i="25" s="1"/>
  <c r="F23" i="25" s="1"/>
  <c r="G23" i="25" s="1"/>
  <c r="H23" i="25" s="1"/>
  <c r="I23" i="25" s="1"/>
  <c r="J23" i="25" s="1"/>
  <c r="N17" i="11" a="1"/>
  <c r="N17" i="11" s="1"/>
  <c r="K17" i="11" a="1"/>
  <c r="K17" i="11" s="1"/>
  <c r="H17" i="11" a="1"/>
  <c r="H17" i="11"/>
  <c r="E17" i="11" a="1"/>
  <c r="E17" i="11" s="1"/>
  <c r="E22" i="25" s="1"/>
  <c r="N16" i="11" a="1"/>
  <c r="N16" i="11" s="1"/>
  <c r="K16" i="11" a="1"/>
  <c r="K16" i="11" s="1"/>
  <c r="H16" i="11" a="1"/>
  <c r="H16" i="11" s="1"/>
  <c r="N14" i="11" a="1"/>
  <c r="N14" i="11" s="1"/>
  <c r="K14" i="11" a="1"/>
  <c r="K14" i="11" s="1"/>
  <c r="H14" i="11" a="1"/>
  <c r="H14" i="11" s="1"/>
  <c r="R12" i="11"/>
  <c r="N11" i="11" a="1"/>
  <c r="N11" i="11" s="1"/>
  <c r="K11" i="11" a="1"/>
  <c r="K11" i="11" s="1"/>
  <c r="H11" i="11" a="1"/>
  <c r="H11" i="11" s="1"/>
  <c r="E11" i="11" a="1"/>
  <c r="E11" i="11" s="1"/>
  <c r="E17" i="25" s="1"/>
  <c r="N10" i="11" a="1"/>
  <c r="N10" i="11" s="1"/>
  <c r="K10" i="11" a="1"/>
  <c r="K10" i="11" s="1"/>
  <c r="H10" i="11" a="1"/>
  <c r="H10" i="11" s="1"/>
  <c r="H24" i="4"/>
  <c r="H29" i="4"/>
  <c r="H28" i="4"/>
  <c r="H27" i="4"/>
  <c r="H26" i="4"/>
  <c r="Q101" i="9"/>
  <c r="Q100" i="9"/>
  <c r="Q99" i="9"/>
  <c r="Q98" i="9"/>
  <c r="Q97" i="9"/>
  <c r="Q96" i="9"/>
  <c r="Q95" i="9"/>
  <c r="Q94" i="9"/>
  <c r="Q93" i="9"/>
  <c r="Q92" i="9"/>
  <c r="Q91" i="9"/>
  <c r="Q90" i="9"/>
  <c r="Q89" i="9"/>
  <c r="Q88" i="9"/>
  <c r="Q87" i="9"/>
  <c r="Q86" i="9"/>
  <c r="Q85" i="9"/>
  <c r="Q84" i="9"/>
  <c r="Q83" i="9"/>
  <c r="Q82" i="9"/>
  <c r="Q81" i="9"/>
  <c r="Q80" i="9"/>
  <c r="Q79" i="9"/>
  <c r="Q78" i="9"/>
  <c r="Q77" i="9"/>
  <c r="Q76" i="9"/>
  <c r="Q75" i="9"/>
  <c r="Q74" i="9"/>
  <c r="Q73" i="9"/>
  <c r="Q72" i="9"/>
  <c r="Q71" i="9"/>
  <c r="Q70" i="9"/>
  <c r="Q69" i="9"/>
  <c r="Q68" i="9"/>
  <c r="Q67" i="9"/>
  <c r="Q66" i="9"/>
  <c r="Q65" i="9"/>
  <c r="Q64" i="9"/>
  <c r="Q63" i="9"/>
  <c r="Q62" i="9"/>
  <c r="Q61" i="9"/>
  <c r="Q60" i="9"/>
  <c r="Q59" i="9"/>
  <c r="Q58" i="9"/>
  <c r="Q57" i="9"/>
  <c r="Q56" i="9"/>
  <c r="Q55" i="9"/>
  <c r="Q54" i="9"/>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7" i="9"/>
  <c r="Q16" i="9"/>
  <c r="Q15" i="9"/>
  <c r="Q14" i="9"/>
  <c r="Q13" i="9"/>
  <c r="Q12" i="9"/>
  <c r="Q11" i="9"/>
  <c r="Q10" i="9"/>
  <c r="Q9" i="9"/>
  <c r="Q8" i="9"/>
  <c r="Q7" i="9"/>
  <c r="Q6" i="9"/>
  <c r="F30" i="5"/>
  <c r="F29" i="5"/>
  <c r="Q101" i="7"/>
  <c r="Q100" i="7"/>
  <c r="Q99" i="7"/>
  <c r="Q98" i="7"/>
  <c r="Q97" i="7"/>
  <c r="Q96" i="7"/>
  <c r="Q95" i="7"/>
  <c r="Q94" i="7"/>
  <c r="Q93" i="7"/>
  <c r="Q92" i="7"/>
  <c r="Q91" i="7"/>
  <c r="Q90" i="7"/>
  <c r="Q89" i="7"/>
  <c r="Q88" i="7"/>
  <c r="Q87" i="7"/>
  <c r="Q86" i="7"/>
  <c r="Q85" i="7"/>
  <c r="Q84" i="7"/>
  <c r="Q83" i="7"/>
  <c r="Q82" i="7"/>
  <c r="Q81" i="7"/>
  <c r="Q80" i="7"/>
  <c r="Q79" i="7"/>
  <c r="Q78" i="7"/>
  <c r="Q77" i="7"/>
  <c r="Q76" i="7"/>
  <c r="Q75" i="7"/>
  <c r="Q74" i="7"/>
  <c r="Q73" i="7"/>
  <c r="Q72" i="7"/>
  <c r="Q71" i="7"/>
  <c r="Q70" i="7"/>
  <c r="Q69" i="7"/>
  <c r="Q68" i="7"/>
  <c r="Q67" i="7"/>
  <c r="Q66" i="7"/>
  <c r="Q65" i="7"/>
  <c r="Q64" i="7"/>
  <c r="Q63" i="7"/>
  <c r="Q62" i="7"/>
  <c r="Q61" i="7"/>
  <c r="Q60" i="7"/>
  <c r="Q59" i="7"/>
  <c r="Q58" i="7"/>
  <c r="Q57" i="7"/>
  <c r="Q56" i="7"/>
  <c r="Q55" i="7"/>
  <c r="Q54" i="7"/>
  <c r="Q53" i="7"/>
  <c r="Q52" i="7"/>
  <c r="Q51" i="7"/>
  <c r="Q50" i="7"/>
  <c r="Q49" i="7"/>
  <c r="Q48" i="7"/>
  <c r="Q47" i="7"/>
  <c r="Q46" i="7"/>
  <c r="Q45" i="7"/>
  <c r="Q44" i="7"/>
  <c r="Q43" i="7"/>
  <c r="Q42" i="7"/>
  <c r="Q41" i="7"/>
  <c r="Q40" i="7"/>
  <c r="Q39" i="7"/>
  <c r="Q38" i="7"/>
  <c r="Q37" i="7"/>
  <c r="Q36" i="7"/>
  <c r="Q35" i="7"/>
  <c r="Q30" i="7"/>
  <c r="Q29" i="7"/>
  <c r="Q28" i="7"/>
  <c r="Q27" i="7"/>
  <c r="Q26" i="7"/>
  <c r="Q25" i="7"/>
  <c r="Q24" i="7"/>
  <c r="Q23" i="7"/>
  <c r="Q22" i="7"/>
  <c r="Q21" i="7"/>
  <c r="Q20" i="7"/>
  <c r="Q19" i="7"/>
  <c r="Q18" i="7"/>
  <c r="Q17" i="7"/>
  <c r="Q16" i="7"/>
  <c r="Q15" i="7"/>
  <c r="Q14" i="7"/>
  <c r="Q13" i="7"/>
  <c r="Q12" i="7"/>
  <c r="Q11" i="7"/>
  <c r="Q10" i="7"/>
  <c r="Q9" i="7"/>
  <c r="Q8" i="7"/>
  <c r="Q7" i="7"/>
  <c r="Q6" i="7"/>
  <c r="D44" i="4"/>
  <c r="D47" i="4"/>
  <c r="D46" i="4"/>
  <c r="D43" i="4"/>
  <c r="E16" i="11" a="1"/>
  <c r="E16" i="11" s="1"/>
  <c r="E21" i="25" s="1"/>
  <c r="E14" i="11" a="1"/>
  <c r="E14" i="11" s="1"/>
  <c r="E20" i="25" s="1"/>
  <c r="Q31" i="7"/>
  <c r="Q34" i="7"/>
  <c r="Q32" i="7"/>
  <c r="G12" i="5"/>
  <c r="H12" i="5"/>
  <c r="I12" i="5" s="1"/>
  <c r="G29" i="5"/>
  <c r="H29" i="5"/>
  <c r="I29" i="5"/>
  <c r="J29" i="5"/>
  <c r="K29" i="5"/>
  <c r="L29" i="5"/>
  <c r="M29" i="5"/>
  <c r="N29" i="5"/>
  <c r="O29" i="5"/>
  <c r="P29" i="5"/>
  <c r="G30" i="5"/>
  <c r="H30" i="5"/>
  <c r="I30" i="5"/>
  <c r="J30" i="5"/>
  <c r="K30" i="5"/>
  <c r="L30" i="5"/>
  <c r="M30" i="5"/>
  <c r="N30" i="5"/>
  <c r="O30" i="5"/>
  <c r="P30" i="5"/>
  <c r="H34" i="4"/>
  <c r="Q33" i="7"/>
  <c r="V55" i="11"/>
  <c r="M49" i="19"/>
  <c r="J34" i="4"/>
  <c r="Q30" i="5"/>
  <c r="M67" i="19"/>
  <c r="Q29" i="5"/>
  <c r="M69" i="19"/>
  <c r="V76" i="11"/>
  <c r="E28" i="5"/>
  <c r="E26" i="5"/>
  <c r="Q23" i="5"/>
  <c r="Q19" i="5"/>
  <c r="Q18" i="5"/>
  <c r="E13" i="5"/>
  <c r="E27" i="5"/>
  <c r="F27" i="5"/>
  <c r="G27" i="5"/>
  <c r="H27" i="5"/>
  <c r="I27" i="5"/>
  <c r="J27" i="5" s="1"/>
  <c r="E20" i="5"/>
  <c r="F20" i="5"/>
  <c r="G20" i="5"/>
  <c r="H20" i="5"/>
  <c r="I20" i="5"/>
  <c r="J20" i="5"/>
  <c r="K20" i="5"/>
  <c r="L20" i="5"/>
  <c r="M20" i="5"/>
  <c r="N20" i="5"/>
  <c r="O20" i="5"/>
  <c r="P20" i="5"/>
  <c r="E7" i="5"/>
  <c r="F7" i="5"/>
  <c r="G7" i="5"/>
  <c r="H7" i="5"/>
  <c r="I7" i="5"/>
  <c r="J7" i="5"/>
  <c r="K7" i="5"/>
  <c r="L7" i="5"/>
  <c r="M7" i="5"/>
  <c r="N7" i="5"/>
  <c r="O7" i="5"/>
  <c r="P7" i="5"/>
  <c r="E10" i="5"/>
  <c r="F10" i="5"/>
  <c r="G10" i="5"/>
  <c r="H10" i="5"/>
  <c r="I10" i="5"/>
  <c r="J10" i="5"/>
  <c r="K10" i="5"/>
  <c r="L10" i="5"/>
  <c r="M10" i="5"/>
  <c r="N10" i="5"/>
  <c r="O10" i="5"/>
  <c r="P10" i="5"/>
  <c r="E8" i="5"/>
  <c r="F8" i="5"/>
  <c r="G8" i="5"/>
  <c r="H8" i="5"/>
  <c r="I8" i="5"/>
  <c r="J8" i="5"/>
  <c r="K8" i="5"/>
  <c r="L8" i="5"/>
  <c r="M8" i="5"/>
  <c r="N8" i="5"/>
  <c r="O8" i="5"/>
  <c r="P8" i="5"/>
  <c r="L21" i="6"/>
  <c r="L20" i="6"/>
  <c r="L19" i="6"/>
  <c r="Q10" i="5"/>
  <c r="Q26" i="5"/>
  <c r="Q20" i="5"/>
  <c r="Q22" i="5"/>
  <c r="Q7" i="5"/>
  <c r="Q8" i="5"/>
  <c r="Q9" i="5"/>
  <c r="Q28" i="5"/>
  <c r="F25" i="5"/>
  <c r="G25" i="5"/>
  <c r="H25" i="5"/>
  <c r="I25" i="5"/>
  <c r="J25" i="5"/>
  <c r="K25" i="5"/>
  <c r="L25" i="5"/>
  <c r="M25" i="5"/>
  <c r="N25" i="5"/>
  <c r="O25" i="5"/>
  <c r="P25" i="5"/>
  <c r="Q25" i="5"/>
  <c r="Q17" i="5"/>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W105" i="1"/>
  <c r="V105" i="1"/>
  <c r="U105" i="1"/>
  <c r="T105" i="1"/>
  <c r="S105" i="1"/>
  <c r="Q105" i="1"/>
  <c r="Q432" i="1"/>
  <c r="W7" i="1"/>
  <c r="V7" i="1"/>
  <c r="U7" i="1"/>
  <c r="T7" i="1"/>
  <c r="S7" i="1"/>
  <c r="Q44" i="1"/>
  <c r="Q45" i="1"/>
  <c r="Q46" i="1"/>
  <c r="Q47" i="1"/>
  <c r="Q48" i="1"/>
  <c r="Q49" i="1"/>
  <c r="Q50" i="1"/>
  <c r="Q51" i="1"/>
  <c r="Q52" i="1"/>
  <c r="Q53" i="1"/>
  <c r="N6" i="1"/>
  <c r="M6" i="1"/>
  <c r="L6" i="1"/>
  <c r="K6" i="1"/>
  <c r="J6" i="1"/>
  <c r="I6" i="1"/>
  <c r="H6" i="1"/>
  <c r="G6" i="1"/>
  <c r="F6" i="1"/>
  <c r="E6" i="1"/>
  <c r="D6" i="1"/>
  <c r="Y8" i="1" a="1"/>
  <c r="Y8" i="1"/>
  <c r="D101" i="1"/>
  <c r="E101" i="1"/>
  <c r="F101" i="1"/>
  <c r="G101" i="1"/>
  <c r="Q102" i="1" s="1"/>
  <c r="H101" i="1"/>
  <c r="I101" i="1"/>
  <c r="J101" i="1"/>
  <c r="K101" i="1"/>
  <c r="L101" i="1"/>
  <c r="M101" i="1"/>
  <c r="N101" i="1"/>
  <c r="O101" i="1"/>
  <c r="E4" i="1"/>
  <c r="F4" i="1"/>
  <c r="G4" i="1"/>
  <c r="H4" i="1"/>
  <c r="I4" i="1"/>
  <c r="J4" i="1"/>
  <c r="K4" i="1"/>
  <c r="L4" i="1"/>
  <c r="M4" i="1"/>
  <c r="N4" i="1"/>
  <c r="O4" i="1"/>
  <c r="O104" i="1"/>
  <c r="N104" i="1"/>
  <c r="Q101" i="1"/>
  <c r="M104" i="1"/>
  <c r="L104" i="1"/>
  <c r="K104" i="1"/>
  <c r="J104" i="1"/>
  <c r="I104" i="1"/>
  <c r="H104" i="1"/>
  <c r="G104" i="1"/>
  <c r="F104" i="1"/>
  <c r="E104" i="1"/>
  <c r="D104" i="1"/>
  <c r="C9" i="17"/>
  <c r="N84" i="17"/>
  <c r="Z83" i="17"/>
  <c r="Z87" i="17"/>
  <c r="N83" i="17"/>
  <c r="N87" i="17"/>
  <c r="Z84" i="17"/>
  <c r="O84" i="17"/>
  <c r="AA83" i="17"/>
  <c r="AA87" i="17"/>
  <c r="O83" i="17"/>
  <c r="O87" i="17"/>
  <c r="AA84" i="17"/>
  <c r="P84" i="17"/>
  <c r="AB83" i="17"/>
  <c r="AB87" i="17"/>
  <c r="AB84" i="17"/>
  <c r="P83" i="17"/>
  <c r="P87" i="17"/>
  <c r="Q84" i="17"/>
  <c r="AC83" i="17"/>
  <c r="AC87" i="17"/>
  <c r="Q83" i="17"/>
  <c r="Q87" i="17"/>
  <c r="AC84" i="17"/>
  <c r="R84" i="17"/>
  <c r="AD83" i="17"/>
  <c r="AD87" i="17"/>
  <c r="R87" i="17"/>
  <c r="AD84" i="17"/>
  <c r="R83" i="17"/>
  <c r="AE83" i="17"/>
  <c r="AE87" i="17"/>
  <c r="S84" i="17"/>
  <c r="S87" i="17"/>
  <c r="AE84" i="17"/>
  <c r="S83" i="17"/>
  <c r="AF84" i="17"/>
  <c r="T84" i="17"/>
  <c r="AF83" i="17"/>
  <c r="AF87" i="17"/>
  <c r="T83" i="17"/>
  <c r="T87" i="17"/>
  <c r="AG84" i="17"/>
  <c r="U84" i="17"/>
  <c r="AG83" i="17"/>
  <c r="AG87" i="17"/>
  <c r="U83" i="17"/>
  <c r="U87" i="17"/>
  <c r="V84" i="17"/>
  <c r="AH84" i="17"/>
  <c r="V87" i="17"/>
  <c r="AH83" i="17"/>
  <c r="AH87" i="17"/>
  <c r="V83" i="17"/>
  <c r="E96" i="19" l="1"/>
  <c r="E97" i="19" s="1"/>
  <c r="Q108" i="17"/>
  <c r="L108" i="17"/>
  <c r="H121" i="17"/>
  <c r="H53" i="19"/>
  <c r="U108" i="17"/>
  <c r="J121" i="17"/>
  <c r="J124" i="17" s="1"/>
  <c r="M108" i="17"/>
  <c r="S108" i="17"/>
  <c r="R108" i="17"/>
  <c r="T108" i="17"/>
  <c r="J110" i="17"/>
  <c r="H96" i="19"/>
  <c r="I112" i="17"/>
  <c r="I113" i="17" s="1"/>
  <c r="I121" i="17" s="1"/>
  <c r="I124" i="17" s="1"/>
  <c r="H42" i="19"/>
  <c r="M42" i="19"/>
  <c r="O108" i="17"/>
  <c r="N108" i="17"/>
  <c r="I110" i="17"/>
  <c r="K108" i="17"/>
  <c r="V108" i="17"/>
  <c r="P108" i="17"/>
  <c r="H110" i="17"/>
  <c r="H124" i="17"/>
  <c r="P26" i="13"/>
  <c r="Q103" i="12"/>
  <c r="Q105" i="12" s="1"/>
  <c r="K56" i="17"/>
  <c r="N64" i="11" a="1"/>
  <c r="N64" i="11" s="1"/>
  <c r="R21" i="11"/>
  <c r="R50" i="11" s="1"/>
  <c r="R104" i="11" s="1"/>
  <c r="V97" i="11"/>
  <c r="F103" i="25" s="1"/>
  <c r="G103" i="25" s="1"/>
  <c r="H103" i="25" s="1"/>
  <c r="I103" i="25" s="1"/>
  <c r="J103" i="25" s="1"/>
  <c r="E103" i="25"/>
  <c r="E115" i="25"/>
  <c r="V109" i="11"/>
  <c r="F115" i="25" s="1"/>
  <c r="V96" i="11"/>
  <c r="F102" i="25" s="1"/>
  <c r="G102" i="25" s="1"/>
  <c r="H102" i="25" s="1"/>
  <c r="I102" i="25" s="1"/>
  <c r="J102" i="25" s="1"/>
  <c r="E102" i="25"/>
  <c r="V67" i="11"/>
  <c r="F73" i="25" s="1"/>
  <c r="G73" i="25" s="1"/>
  <c r="H73" i="25" s="1"/>
  <c r="I73" i="25" s="1"/>
  <c r="J73" i="25" s="1"/>
  <c r="E73" i="25"/>
  <c r="V68" i="11"/>
  <c r="F74" i="25" s="1"/>
  <c r="G74" i="25" s="1"/>
  <c r="H74" i="25" s="1"/>
  <c r="I74" i="25" s="1"/>
  <c r="J74" i="25" s="1"/>
  <c r="E74" i="25"/>
  <c r="V84" i="11"/>
  <c r="G90" i="25" s="1"/>
  <c r="H90" i="25" s="1"/>
  <c r="I90" i="25" s="1"/>
  <c r="J90" i="25" s="1"/>
  <c r="E90" i="25"/>
  <c r="F90" i="25" s="1"/>
  <c r="V86" i="11"/>
  <c r="G92" i="25" s="1"/>
  <c r="H92" i="25" s="1"/>
  <c r="I92" i="25" s="1"/>
  <c r="J92" i="25" s="1"/>
  <c r="E92" i="25"/>
  <c r="F92" i="25" s="1"/>
  <c r="E24" i="25"/>
  <c r="K63" i="11" a="1"/>
  <c r="K63" i="11" s="1"/>
  <c r="C69" i="25"/>
  <c r="V90" i="11"/>
  <c r="F96" i="25" s="1"/>
  <c r="E96" i="25"/>
  <c r="K64" i="11" a="1"/>
  <c r="K64" i="11" s="1"/>
  <c r="C70" i="25"/>
  <c r="F29" i="25"/>
  <c r="G29" i="25" s="1"/>
  <c r="H29" i="25" s="1"/>
  <c r="I29" i="25" s="1"/>
  <c r="J29" i="25" s="1"/>
  <c r="N65" i="11" a="1"/>
  <c r="N65" i="11" s="1"/>
  <c r="C71" i="25"/>
  <c r="V94" i="11"/>
  <c r="F100" i="25" s="1"/>
  <c r="G100" i="25" s="1"/>
  <c r="H100" i="25" s="1"/>
  <c r="I100" i="25" s="1"/>
  <c r="J100" i="25" s="1"/>
  <c r="E100" i="25"/>
  <c r="V69" i="11"/>
  <c r="F75" i="25" s="1"/>
  <c r="G75" i="25" s="1"/>
  <c r="H75" i="25" s="1"/>
  <c r="I75" i="25" s="1"/>
  <c r="J75" i="25" s="1"/>
  <c r="E75" i="25"/>
  <c r="E16" i="25"/>
  <c r="V10" i="11"/>
  <c r="E62" i="11" a="1"/>
  <c r="E62" i="11" s="1"/>
  <c r="C68" i="25"/>
  <c r="E83" i="25"/>
  <c r="E85" i="25"/>
  <c r="V79" i="11"/>
  <c r="G85" i="25" s="1"/>
  <c r="V106" i="11"/>
  <c r="F112" i="25" s="1"/>
  <c r="E112" i="25"/>
  <c r="E113" i="25" s="1"/>
  <c r="V70" i="11"/>
  <c r="F76" i="25" s="1"/>
  <c r="G76" i="25" s="1"/>
  <c r="H76" i="25" s="1"/>
  <c r="I76" i="25" s="1"/>
  <c r="J76" i="25" s="1"/>
  <c r="E76" i="25"/>
  <c r="V80" i="11"/>
  <c r="G86" i="25" s="1"/>
  <c r="H86" i="25" s="1"/>
  <c r="I86" i="25" s="1"/>
  <c r="J86" i="25" s="1"/>
  <c r="E86" i="25"/>
  <c r="F86" i="25" s="1"/>
  <c r="H41" i="25"/>
  <c r="I41" i="25" s="1"/>
  <c r="J41" i="25" s="1"/>
  <c r="F39" i="25"/>
  <c r="H39" i="25" s="1"/>
  <c r="I39" i="25" s="1"/>
  <c r="J39" i="25" s="1"/>
  <c r="D47" i="21"/>
  <c r="D49" i="21"/>
  <c r="D50" i="21"/>
  <c r="D44" i="21"/>
  <c r="D43" i="21"/>
  <c r="D46" i="21"/>
  <c r="C4" i="18"/>
  <c r="I38" i="18" s="1"/>
  <c r="J38" i="18" s="1"/>
  <c r="K38" i="18" s="1"/>
  <c r="L38" i="18" s="1"/>
  <c r="M38" i="18" s="1"/>
  <c r="N38" i="18" s="1"/>
  <c r="O38" i="18" s="1"/>
  <c r="P38" i="18" s="1"/>
  <c r="Q38" i="18" s="1"/>
  <c r="R38" i="18" s="1"/>
  <c r="S38" i="18" s="1"/>
  <c r="T38" i="18" s="1"/>
  <c r="U38" i="18" s="1"/>
  <c r="V38" i="18" s="1"/>
  <c r="W38" i="18" s="1"/>
  <c r="X38" i="18" s="1"/>
  <c r="Y38" i="18" s="1"/>
  <c r="Z38" i="18" s="1"/>
  <c r="AA38" i="18" s="1"/>
  <c r="AB38" i="18" s="1"/>
  <c r="AC38" i="18" s="1"/>
  <c r="AD38" i="18" s="1"/>
  <c r="AE38" i="18" s="1"/>
  <c r="AF38" i="18" s="1"/>
  <c r="F31" i="16"/>
  <c r="K31" i="16"/>
  <c r="L4" i="16"/>
  <c r="J31" i="16"/>
  <c r="AB5" i="16"/>
  <c r="X31" i="16"/>
  <c r="I31" i="16"/>
  <c r="M56" i="17"/>
  <c r="V56" i="17"/>
  <c r="Q56" i="17"/>
  <c r="T56" i="17"/>
  <c r="N56" i="17"/>
  <c r="E36" i="19" a="1"/>
  <c r="E36" i="19" s="1"/>
  <c r="U56" i="17"/>
  <c r="R56" i="17"/>
  <c r="E41" i="19" a="1"/>
  <c r="E41" i="19" s="1"/>
  <c r="E31" i="19" a="1"/>
  <c r="E31" i="19" s="1"/>
  <c r="E32" i="19" a="1"/>
  <c r="E32" i="19" s="1"/>
  <c r="P56" i="17"/>
  <c r="C6" i="18"/>
  <c r="K23" i="18"/>
  <c r="K12" i="18"/>
  <c r="K14" i="18" s="1"/>
  <c r="L25" i="18"/>
  <c r="E26" i="19" a="1"/>
  <c r="E26" i="19" s="1"/>
  <c r="E28" i="19" a="1"/>
  <c r="E28" i="19" s="1"/>
  <c r="E38" i="19" a="1"/>
  <c r="E38" i="19" s="1"/>
  <c r="E35" i="19" a="1"/>
  <c r="E35" i="19" s="1"/>
  <c r="E34" i="19" a="1"/>
  <c r="E34" i="19" s="1"/>
  <c r="L56" i="17"/>
  <c r="E29" i="19" a="1"/>
  <c r="E29" i="19" s="1"/>
  <c r="E40" i="19" a="1"/>
  <c r="E40" i="19" s="1"/>
  <c r="E24" i="19" a="1"/>
  <c r="E24" i="19" s="1"/>
  <c r="O56" i="17"/>
  <c r="E37" i="19" a="1"/>
  <c r="E37" i="19" s="1"/>
  <c r="E39" i="19" a="1"/>
  <c r="E39" i="19" s="1"/>
  <c r="S56" i="17"/>
  <c r="E23" i="19" a="1"/>
  <c r="E23" i="19" s="1"/>
  <c r="E30" i="19" a="1"/>
  <c r="E30" i="19" s="1"/>
  <c r="E27" i="19" a="1"/>
  <c r="E27" i="19" s="1"/>
  <c r="E33" i="19" a="1"/>
  <c r="E33" i="19" s="1"/>
  <c r="E25" i="19" a="1"/>
  <c r="E25" i="19" s="1"/>
  <c r="H79" i="25"/>
  <c r="L11" i="16"/>
  <c r="L15" i="16"/>
  <c r="T31" i="16"/>
  <c r="D51" i="4"/>
  <c r="F51" i="4" s="1"/>
  <c r="N62" i="11" a="1"/>
  <c r="N62" i="11" s="1"/>
  <c r="K62" i="11" a="1"/>
  <c r="K62" i="11" s="1"/>
  <c r="E65" i="11" a="1"/>
  <c r="E65" i="11" s="1"/>
  <c r="E63" i="11" a="1"/>
  <c r="E63" i="11" s="1"/>
  <c r="E6" i="11"/>
  <c r="N63" i="11" a="1"/>
  <c r="N63" i="11" s="1"/>
  <c r="H62" i="11" a="1"/>
  <c r="H62" i="11" s="1"/>
  <c r="K65" i="11" a="1"/>
  <c r="K65" i="11" s="1"/>
  <c r="C5" i="4"/>
  <c r="H65" i="11" a="1"/>
  <c r="H65" i="11" s="1"/>
  <c r="E64" i="11" a="1"/>
  <c r="E64" i="11" s="1"/>
  <c r="R112" i="11"/>
  <c r="R113" i="11" s="1"/>
  <c r="V95" i="11"/>
  <c r="F101" i="25" s="1"/>
  <c r="G101" i="25" s="1"/>
  <c r="H101" i="25" s="1"/>
  <c r="I101" i="25" s="1"/>
  <c r="J101" i="25" s="1"/>
  <c r="R100" i="11"/>
  <c r="P5" i="16"/>
  <c r="Z5" i="16" s="1"/>
  <c r="AA5" i="16"/>
  <c r="P23" i="16"/>
  <c r="Z23" i="16" s="1"/>
  <c r="M23" i="16"/>
  <c r="N23" i="16" s="1"/>
  <c r="P6" i="16"/>
  <c r="Z6" i="16" s="1"/>
  <c r="M15" i="16"/>
  <c r="N15" i="16" s="1"/>
  <c r="Z29" i="16"/>
  <c r="Z16" i="16"/>
  <c r="Z15" i="16"/>
  <c r="P17" i="16"/>
  <c r="Z9" i="16"/>
  <c r="L10" i="16"/>
  <c r="M10" i="16" s="1"/>
  <c r="N10" i="16" s="1"/>
  <c r="Z11" i="16"/>
  <c r="Z10" i="16"/>
  <c r="L19" i="16"/>
  <c r="M19" i="16" s="1"/>
  <c r="M28" i="16"/>
  <c r="AB28" i="16" s="1"/>
  <c r="L24" i="16"/>
  <c r="M24" i="16" s="1"/>
  <c r="N24" i="16" s="1"/>
  <c r="P14" i="16"/>
  <c r="Z14" i="16" s="1"/>
  <c r="M14" i="16"/>
  <c r="N14" i="16" s="1"/>
  <c r="L18" i="16"/>
  <c r="M18" i="16" s="1"/>
  <c r="M11" i="16"/>
  <c r="N11" i="16" s="1"/>
  <c r="L9" i="16"/>
  <c r="M9" i="16" s="1"/>
  <c r="L16" i="16"/>
  <c r="P28" i="16"/>
  <c r="Z28" i="16" s="1"/>
  <c r="P26" i="16"/>
  <c r="Z26" i="16" s="1"/>
  <c r="P20" i="16"/>
  <c r="Z20" i="16" s="1"/>
  <c r="L20" i="16"/>
  <c r="M20" i="16" s="1"/>
  <c r="N6" i="16"/>
  <c r="AA6" i="16"/>
  <c r="AB6" i="16"/>
  <c r="AB10" i="16"/>
  <c r="AA25" i="16"/>
  <c r="AB25" i="16"/>
  <c r="N25" i="16"/>
  <c r="P21" i="16"/>
  <c r="Z21" i="16" s="1"/>
  <c r="M21" i="16"/>
  <c r="L7" i="16"/>
  <c r="M7" i="16" s="1"/>
  <c r="P7" i="16"/>
  <c r="Z7" i="16" s="1"/>
  <c r="L29" i="16"/>
  <c r="M29" i="16" s="1"/>
  <c r="P18" i="16"/>
  <c r="Z18" i="16" s="1"/>
  <c r="L13" i="16"/>
  <c r="P13" i="16"/>
  <c r="Z13" i="16" s="1"/>
  <c r="AB26" i="16"/>
  <c r="AA26" i="16"/>
  <c r="AA23" i="16"/>
  <c r="AB23" i="16"/>
  <c r="Z24" i="16"/>
  <c r="Z27" i="16"/>
  <c r="L22" i="16"/>
  <c r="M22" i="16" s="1"/>
  <c r="Z17" i="16"/>
  <c r="AC72" i="17"/>
  <c r="K73" i="17"/>
  <c r="Y76" i="17"/>
  <c r="R71" i="17"/>
  <c r="L79" i="17"/>
  <c r="S80" i="17"/>
  <c r="Z25" i="16"/>
  <c r="M27" i="16"/>
  <c r="P12" i="16"/>
  <c r="Z12" i="16" s="1"/>
  <c r="M12" i="16"/>
  <c r="P30" i="16"/>
  <c r="Z30" i="16" s="1"/>
  <c r="L30" i="16"/>
  <c r="M30" i="16" s="1"/>
  <c r="M17" i="16"/>
  <c r="Z22" i="16"/>
  <c r="Z19" i="16"/>
  <c r="M8" i="16"/>
  <c r="P8" i="16"/>
  <c r="Z8" i="16" s="1"/>
  <c r="Y72" i="17"/>
  <c r="AF77" i="17"/>
  <c r="U77" i="17"/>
  <c r="AB75" i="17"/>
  <c r="T79" i="17"/>
  <c r="U71" i="17"/>
  <c r="P4" i="16"/>
  <c r="N75" i="17"/>
  <c r="AH74" i="17"/>
  <c r="R76" i="17"/>
  <c r="AC74" i="17"/>
  <c r="L72" i="17"/>
  <c r="W80" i="17"/>
  <c r="Z75" i="17"/>
  <c r="AB76" i="17"/>
  <c r="K80" i="17"/>
  <c r="L78" i="17"/>
  <c r="Z71" i="17"/>
  <c r="AC76" i="17"/>
  <c r="X80" i="17"/>
  <c r="P75" i="17"/>
  <c r="AE79" i="17"/>
  <c r="U72" i="17"/>
  <c r="AC71" i="17"/>
  <c r="AE80" i="17"/>
  <c r="L80" i="17"/>
  <c r="M73" i="17"/>
  <c r="T71" i="17"/>
  <c r="AA74" i="17"/>
  <c r="W74" i="17"/>
  <c r="K74" i="17"/>
  <c r="R79" i="17"/>
  <c r="L77" i="17"/>
  <c r="Y80" i="17"/>
  <c r="K76" i="17"/>
  <c r="V71" i="17"/>
  <c r="AG74" i="17"/>
  <c r="O76" i="17"/>
  <c r="K78" i="17"/>
  <c r="Y79" i="17"/>
  <c r="AB80" i="17"/>
  <c r="O73" i="17"/>
  <c r="AC77" i="17"/>
  <c r="AE73" i="17"/>
  <c r="N74" i="17"/>
  <c r="AB74" i="17"/>
  <c r="AG79" i="17"/>
  <c r="AC80" i="17"/>
  <c r="V78" i="17"/>
  <c r="U78" i="17"/>
  <c r="Y71" i="17"/>
  <c r="AF79" i="17"/>
  <c r="Z77" i="17"/>
  <c r="L74" i="17"/>
  <c r="AD76" i="17"/>
  <c r="AA80" i="17"/>
  <c r="P76" i="17"/>
  <c r="AA72" i="17"/>
  <c r="AD73" i="17"/>
  <c r="Y73" i="17"/>
  <c r="AE72" i="17"/>
  <c r="T78" i="17"/>
  <c r="S71" i="17"/>
  <c r="X71" i="17"/>
  <c r="M76" i="17"/>
  <c r="V79" i="17"/>
  <c r="AB77" i="17"/>
  <c r="P80" i="17"/>
  <c r="P73" i="17"/>
  <c r="T77" i="17"/>
  <c r="Q77" i="17"/>
  <c r="N78" i="17"/>
  <c r="V74" i="17"/>
  <c r="AG71" i="17"/>
  <c r="O72" i="17"/>
  <c r="Z73" i="17"/>
  <c r="V76" i="17"/>
  <c r="AB79" i="17"/>
  <c r="R75" i="17"/>
  <c r="AD77" i="17"/>
  <c r="Z79" i="17"/>
  <c r="AE71" i="17"/>
  <c r="AG73" i="17"/>
  <c r="AH71" i="17"/>
  <c r="M75" i="17"/>
  <c r="O78" i="17"/>
  <c r="W76" i="17"/>
  <c r="S79" i="17"/>
  <c r="O71" i="17"/>
  <c r="Y74" i="17"/>
  <c r="Q79" i="17"/>
  <c r="T80" i="17"/>
  <c r="AB78" i="17"/>
  <c r="Q73" i="17"/>
  <c r="L75" i="17"/>
  <c r="W75" i="17"/>
  <c r="AH75" i="17"/>
  <c r="AF80" i="17"/>
  <c r="P79" i="17"/>
  <c r="N76" i="17"/>
  <c r="M74" i="17"/>
  <c r="M77" i="17"/>
  <c r="AA76" i="17"/>
  <c r="W73" i="17"/>
  <c r="U74" i="17"/>
  <c r="R72" i="17"/>
  <c r="AD72" i="17"/>
  <c r="Q74" i="17"/>
  <c r="V80" i="17"/>
  <c r="P72" i="17"/>
  <c r="U73" i="17"/>
  <c r="AE74" i="17"/>
  <c r="AG77" i="17"/>
  <c r="N73" i="17"/>
  <c r="AE78" i="17"/>
  <c r="V75" i="17"/>
  <c r="M71" i="17"/>
  <c r="O79" i="17"/>
  <c r="W71" i="17"/>
  <c r="AH79" i="17"/>
  <c r="X73" i="17"/>
  <c r="AH72" i="17"/>
  <c r="Q71" i="17"/>
  <c r="S78" i="17"/>
  <c r="M79" i="17"/>
  <c r="AA77" i="17"/>
  <c r="S77" i="17"/>
  <c r="AD78" i="17"/>
  <c r="AA78" i="17"/>
  <c r="O74" i="17"/>
  <c r="AA71" i="17"/>
  <c r="AA79" i="17"/>
  <c r="W77" i="17"/>
  <c r="Q80" i="17"/>
  <c r="AE75" i="17"/>
  <c r="P74" i="17"/>
  <c r="AH76" i="17"/>
  <c r="AE76" i="17"/>
  <c r="AF78" i="17"/>
  <c r="Q72" i="17"/>
  <c r="AE77" i="17"/>
  <c r="AA73" i="17"/>
  <c r="AF76" i="17"/>
  <c r="X74" i="17"/>
  <c r="S72" i="17"/>
  <c r="AA75" i="17"/>
  <c r="X75" i="17"/>
  <c r="Z72" i="17"/>
  <c r="W79" i="17"/>
  <c r="X76" i="17"/>
  <c r="R73" i="17"/>
  <c r="T73" i="17"/>
  <c r="AB72" i="17"/>
  <c r="L71" i="17"/>
  <c r="M4" i="16"/>
  <c r="Z80" i="17"/>
  <c r="Y77" i="17"/>
  <c r="N80" i="17"/>
  <c r="AB71" i="17"/>
  <c r="S76" i="17"/>
  <c r="W72" i="17"/>
  <c r="AH80" i="17"/>
  <c r="P71" i="17"/>
  <c r="AG80" i="17"/>
  <c r="X77" i="17"/>
  <c r="K72" i="17"/>
  <c r="Z78" i="17"/>
  <c r="L76" i="17"/>
  <c r="Q105" i="9"/>
  <c r="K71" i="17"/>
  <c r="R80" i="17"/>
  <c r="Q75" i="17"/>
  <c r="K79" i="17"/>
  <c r="AF73" i="17"/>
  <c r="AC79" i="17"/>
  <c r="AG72" i="17"/>
  <c r="AF72" i="17"/>
  <c r="U75" i="17"/>
  <c r="V77" i="17"/>
  <c r="O75" i="17"/>
  <c r="T72" i="17"/>
  <c r="U79" i="17"/>
  <c r="AG78" i="17"/>
  <c r="X72" i="17"/>
  <c r="O77" i="17"/>
  <c r="M72" i="17"/>
  <c r="P78" i="17"/>
  <c r="Y75" i="17"/>
  <c r="Z76" i="17"/>
  <c r="V72" i="17"/>
  <c r="U80" i="17"/>
  <c r="V73" i="17"/>
  <c r="S74" i="17"/>
  <c r="AD71" i="17"/>
  <c r="AD80" i="17"/>
  <c r="K75" i="17"/>
  <c r="AD75" i="17"/>
  <c r="N79" i="17"/>
  <c r="S75" i="17"/>
  <c r="W78" i="17"/>
  <c r="T76" i="17"/>
  <c r="O80" i="17"/>
  <c r="AD74" i="17"/>
  <c r="N77" i="17"/>
  <c r="AC75" i="17"/>
  <c r="AC73" i="17"/>
  <c r="L73" i="17"/>
  <c r="M80" i="17"/>
  <c r="AH78" i="17"/>
  <c r="T74" i="17"/>
  <c r="AH73" i="17"/>
  <c r="P77" i="17"/>
  <c r="AC78" i="17"/>
  <c r="AB73" i="17"/>
  <c r="AD79" i="17"/>
  <c r="U76" i="17"/>
  <c r="S73" i="17"/>
  <c r="M78" i="17"/>
  <c r="R78" i="17"/>
  <c r="X78" i="17"/>
  <c r="AG75" i="17"/>
  <c r="R74" i="17"/>
  <c r="R77" i="17"/>
  <c r="AF75" i="17"/>
  <c r="T75" i="17"/>
  <c r="AG76" i="17"/>
  <c r="AF71" i="17"/>
  <c r="AH77" i="17"/>
  <c r="AF74" i="17"/>
  <c r="Q78" i="17"/>
  <c r="Q76" i="17"/>
  <c r="Y78" i="17"/>
  <c r="K77" i="17"/>
  <c r="Z74" i="17"/>
  <c r="N71" i="17"/>
  <c r="N72" i="17"/>
  <c r="V56" i="11"/>
  <c r="M50" i="19"/>
  <c r="G21" i="4"/>
  <c r="K27" i="5"/>
  <c r="Q16" i="5"/>
  <c r="Q15" i="5"/>
  <c r="F13" i="5"/>
  <c r="G13" i="5" s="1"/>
  <c r="H13" i="5" s="1"/>
  <c r="I13" i="5" s="1"/>
  <c r="J13" i="5" s="1"/>
  <c r="K13" i="5" s="1"/>
  <c r="L13" i="5" s="1"/>
  <c r="M13" i="5" s="1"/>
  <c r="N13" i="5" s="1"/>
  <c r="O13" i="5" s="1"/>
  <c r="P13" i="5" s="1"/>
  <c r="AA86" i="17"/>
  <c r="J12" i="5"/>
  <c r="O86" i="17"/>
  <c r="N86" i="17"/>
  <c r="Z86" i="17"/>
  <c r="H19" i="11"/>
  <c r="Y56" i="11"/>
  <c r="H103" i="11"/>
  <c r="H77" i="11"/>
  <c r="H98" i="11"/>
  <c r="H12" i="11"/>
  <c r="H15" i="11" s="1"/>
  <c r="K77" i="11"/>
  <c r="E110" i="11"/>
  <c r="E116" i="25" s="1"/>
  <c r="V91" i="11"/>
  <c r="F97" i="25" s="1"/>
  <c r="G97" i="25" s="1"/>
  <c r="H97" i="25" s="1"/>
  <c r="I97" i="25" s="1"/>
  <c r="J97" i="25" s="1"/>
  <c r="V92" i="11"/>
  <c r="F98" i="25" s="1"/>
  <c r="G98" i="25" s="1"/>
  <c r="H98" i="25" s="1"/>
  <c r="I98" i="25" s="1"/>
  <c r="J98" i="25" s="1"/>
  <c r="K19" i="11"/>
  <c r="N103" i="11"/>
  <c r="N98" i="11"/>
  <c r="N12" i="11"/>
  <c r="N15" i="11" s="1"/>
  <c r="N19" i="11"/>
  <c r="K12" i="11"/>
  <c r="E19" i="11"/>
  <c r="H48" i="11"/>
  <c r="K48" i="11"/>
  <c r="E12" i="11"/>
  <c r="N48" i="11"/>
  <c r="S434" i="1"/>
  <c r="E48" i="11"/>
  <c r="T434" i="1"/>
  <c r="V434" i="1"/>
  <c r="W434" i="1"/>
  <c r="Q434" i="1"/>
  <c r="V82" i="11"/>
  <c r="G88" i="25" s="1"/>
  <c r="H88" i="25" s="1"/>
  <c r="I88" i="25" s="1"/>
  <c r="J88" i="25" s="1"/>
  <c r="E88" i="11"/>
  <c r="V83" i="11"/>
  <c r="G89" i="25" s="1"/>
  <c r="H89" i="25" s="1"/>
  <c r="I89" i="25" s="1"/>
  <c r="J89" i="25" s="1"/>
  <c r="E60" i="11"/>
  <c r="E66" i="25" s="1"/>
  <c r="N60" i="11"/>
  <c r="E77" i="11"/>
  <c r="N88" i="11"/>
  <c r="V87" i="11"/>
  <c r="G93" i="25" s="1"/>
  <c r="H93" i="25" s="1"/>
  <c r="I93" i="25" s="1"/>
  <c r="J93" i="25" s="1"/>
  <c r="H88" i="11"/>
  <c r="K88" i="11"/>
  <c r="E98" i="11"/>
  <c r="V85" i="11"/>
  <c r="G91" i="25" s="1"/>
  <c r="H91" i="25" s="1"/>
  <c r="I91" i="25" s="1"/>
  <c r="J91" i="25" s="1"/>
  <c r="H60" i="11"/>
  <c r="E103" i="11"/>
  <c r="E109" i="25" s="1"/>
  <c r="K60" i="11"/>
  <c r="V93" i="11"/>
  <c r="F99" i="25" s="1"/>
  <c r="G99" i="25" s="1"/>
  <c r="H99" i="25" s="1"/>
  <c r="I99" i="25" s="1"/>
  <c r="J99" i="25" s="1"/>
  <c r="Q433" i="1"/>
  <c r="N77" i="11"/>
  <c r="U432" i="1"/>
  <c r="U434" i="1" s="1"/>
  <c r="V81" i="11"/>
  <c r="G87" i="25" s="1"/>
  <c r="H87" i="25" s="1"/>
  <c r="I87" i="25" s="1"/>
  <c r="J87" i="25" s="1"/>
  <c r="K98" i="11"/>
  <c r="V66" i="11"/>
  <c r="F72" i="25" s="1"/>
  <c r="G72" i="25" s="1"/>
  <c r="H72" i="25" s="1"/>
  <c r="I72" i="25" s="1"/>
  <c r="J72" i="25" s="1"/>
  <c r="E107" i="11"/>
  <c r="M96" i="19" l="1"/>
  <c r="M97" i="19" s="1"/>
  <c r="H97" i="19"/>
  <c r="N71" i="11"/>
  <c r="N100" i="11" s="1"/>
  <c r="R115" i="11"/>
  <c r="K71" i="11"/>
  <c r="K100" i="11" s="1"/>
  <c r="H71" i="11"/>
  <c r="H100" i="11" s="1"/>
  <c r="V65" i="11"/>
  <c r="F71" i="25" s="1"/>
  <c r="G71" i="25" s="1"/>
  <c r="H71" i="25" s="1"/>
  <c r="I71" i="25" s="1"/>
  <c r="J71" i="25" s="1"/>
  <c r="E71" i="25"/>
  <c r="E70" i="25"/>
  <c r="V64" i="11"/>
  <c r="F70" i="25" s="1"/>
  <c r="G70" i="25" s="1"/>
  <c r="H70" i="25" s="1"/>
  <c r="I70" i="25" s="1"/>
  <c r="J70" i="25" s="1"/>
  <c r="E104" i="25"/>
  <c r="F116" i="25"/>
  <c r="G115" i="25"/>
  <c r="E68" i="25"/>
  <c r="V62" i="11"/>
  <c r="F68" i="25" s="1"/>
  <c r="E94" i="25"/>
  <c r="F85" i="25"/>
  <c r="F94" i="25" s="1"/>
  <c r="E18" i="25"/>
  <c r="E26" i="25" s="1"/>
  <c r="F16" i="25"/>
  <c r="G96" i="25"/>
  <c r="F104" i="25"/>
  <c r="E54" i="25"/>
  <c r="F28" i="25"/>
  <c r="V110" i="11"/>
  <c r="E71" i="11"/>
  <c r="E77" i="25" s="1"/>
  <c r="E69" i="25"/>
  <c r="G94" i="25"/>
  <c r="H85" i="25"/>
  <c r="H21" i="11"/>
  <c r="H50" i="11" s="1"/>
  <c r="H104" i="11" s="1"/>
  <c r="V107" i="11"/>
  <c r="F113" i="25"/>
  <c r="G112" i="25"/>
  <c r="D51" i="21"/>
  <c r="F51" i="21" s="1"/>
  <c r="M31" i="16"/>
  <c r="L31" i="16"/>
  <c r="Z4" i="16"/>
  <c r="P31" i="16"/>
  <c r="Z31" i="16" s="1"/>
  <c r="L12" i="18"/>
  <c r="L14" i="18" s="1"/>
  <c r="M25" i="18"/>
  <c r="K20" i="18"/>
  <c r="K18" i="18"/>
  <c r="K21" i="18"/>
  <c r="K17" i="18"/>
  <c r="K19" i="18"/>
  <c r="K16" i="18"/>
  <c r="E42" i="19"/>
  <c r="I79" i="25"/>
  <c r="AB15" i="16"/>
  <c r="AA15" i="16"/>
  <c r="AB11" i="16"/>
  <c r="AA11" i="16"/>
  <c r="V63" i="11"/>
  <c r="F69" i="25" s="1"/>
  <c r="G69" i="25" s="1"/>
  <c r="H69" i="25" s="1"/>
  <c r="I69" i="25" s="1"/>
  <c r="J69" i="25" s="1"/>
  <c r="AB14" i="16"/>
  <c r="AA14" i="16"/>
  <c r="N18" i="16"/>
  <c r="AA18" i="16"/>
  <c r="AB18" i="16"/>
  <c r="AA9" i="16"/>
  <c r="AB9" i="16"/>
  <c r="N9" i="16"/>
  <c r="N28" i="16"/>
  <c r="M13" i="16"/>
  <c r="N13" i="16" s="1"/>
  <c r="AA10" i="16"/>
  <c r="AA28" i="16"/>
  <c r="AB24" i="16"/>
  <c r="AA24" i="16"/>
  <c r="N4" i="16"/>
  <c r="AB4" i="16"/>
  <c r="AA4" i="16"/>
  <c r="N29" i="16"/>
  <c r="AA29" i="16"/>
  <c r="AB29" i="16"/>
  <c r="AB8" i="16"/>
  <c r="N8" i="16"/>
  <c r="AA8" i="16"/>
  <c r="N21" i="16"/>
  <c r="AA21" i="16"/>
  <c r="AB21" i="16"/>
  <c r="N30" i="16"/>
  <c r="AA30" i="16"/>
  <c r="AB30" i="16"/>
  <c r="AB17" i="16"/>
  <c r="AA17" i="16"/>
  <c r="N17" i="16"/>
  <c r="N7" i="16"/>
  <c r="AA7" i="16"/>
  <c r="AB7" i="16"/>
  <c r="AA19" i="16"/>
  <c r="AB19" i="16"/>
  <c r="N19" i="16"/>
  <c r="AA20" i="16"/>
  <c r="AB20" i="16"/>
  <c r="N20" i="16"/>
  <c r="N22" i="16"/>
  <c r="AA22" i="16"/>
  <c r="AB22" i="16"/>
  <c r="AA27" i="16"/>
  <c r="AB27" i="16"/>
  <c r="N27" i="16"/>
  <c r="N12" i="16"/>
  <c r="AA12" i="16"/>
  <c r="AB12" i="16"/>
  <c r="M16" i="16"/>
  <c r="O81" i="17"/>
  <c r="Z81" i="17"/>
  <c r="S81" i="17"/>
  <c r="AB81" i="17"/>
  <c r="H57" i="19" a="1"/>
  <c r="H57" i="19" s="1"/>
  <c r="M57" i="19" s="1"/>
  <c r="AH81" i="17"/>
  <c r="AG81" i="17"/>
  <c r="L81" i="17"/>
  <c r="X81" i="17"/>
  <c r="AA81" i="17"/>
  <c r="T81" i="17"/>
  <c r="AE81" i="17"/>
  <c r="W81" i="17"/>
  <c r="R81" i="17"/>
  <c r="Y81" i="17"/>
  <c r="V81" i="17"/>
  <c r="H56" i="19" a="1"/>
  <c r="H56" i="19" s="1"/>
  <c r="H62" i="19" a="1"/>
  <c r="H62" i="19" s="1"/>
  <c r="E57" i="19" a="1"/>
  <c r="E57" i="19" s="1"/>
  <c r="E59" i="19" a="1"/>
  <c r="E59" i="19" s="1"/>
  <c r="E61" i="19" a="1"/>
  <c r="E61" i="19" s="1"/>
  <c r="E62" i="19" a="1"/>
  <c r="E62" i="19" s="1"/>
  <c r="E60" i="19" a="1"/>
  <c r="E60" i="19" s="1"/>
  <c r="E63" i="19" a="1"/>
  <c r="E63" i="19" s="1"/>
  <c r="K81" i="17"/>
  <c r="E56" i="19" a="1"/>
  <c r="E56" i="19" s="1"/>
  <c r="E55" i="19" a="1"/>
  <c r="E55" i="19" s="1"/>
  <c r="E58" i="19" a="1"/>
  <c r="E58" i="19" s="1"/>
  <c r="H61" i="19" a="1"/>
  <c r="H61" i="19" s="1"/>
  <c r="M81" i="17"/>
  <c r="H60" i="19" a="1"/>
  <c r="H60" i="19" s="1"/>
  <c r="Q81" i="17"/>
  <c r="AC81" i="17"/>
  <c r="H59" i="19" a="1"/>
  <c r="H59" i="19" s="1"/>
  <c r="AF81" i="17"/>
  <c r="H63" i="19" a="1"/>
  <c r="H63" i="19" s="1"/>
  <c r="H58" i="19" a="1"/>
  <c r="H58" i="19" s="1"/>
  <c r="H55" i="19" a="1"/>
  <c r="H55" i="19" s="1"/>
  <c r="N81" i="17"/>
  <c r="P81" i="17"/>
  <c r="AD81" i="17"/>
  <c r="U81" i="17"/>
  <c r="J21" i="4"/>
  <c r="K62" i="17"/>
  <c r="V54" i="11"/>
  <c r="M48" i="19"/>
  <c r="L27" i="5"/>
  <c r="Q13" i="5"/>
  <c r="K12" i="5"/>
  <c r="P86" i="17"/>
  <c r="AB86" i="17"/>
  <c r="V98" i="11"/>
  <c r="E21" i="11"/>
  <c r="V11" i="11"/>
  <c r="V12" i="11" s="1"/>
  <c r="N21" i="11"/>
  <c r="K15" i="11"/>
  <c r="K21" i="11"/>
  <c r="E15" i="11"/>
  <c r="V48" i="11"/>
  <c r="V88" i="11"/>
  <c r="E56" i="25" l="1"/>
  <c r="K112" i="11"/>
  <c r="N112" i="11"/>
  <c r="H112" i="11"/>
  <c r="H115" i="11" s="1"/>
  <c r="E100" i="11"/>
  <c r="E112" i="11"/>
  <c r="E118" i="25" s="1"/>
  <c r="G113" i="25"/>
  <c r="H112" i="25"/>
  <c r="H94" i="25"/>
  <c r="I85" i="25"/>
  <c r="H96" i="25"/>
  <c r="G104" i="25"/>
  <c r="F17" i="25"/>
  <c r="F18" i="25"/>
  <c r="G16" i="25"/>
  <c r="G68" i="25"/>
  <c r="F77" i="25"/>
  <c r="G116" i="25"/>
  <c r="H115" i="25"/>
  <c r="E106" i="25"/>
  <c r="V71" i="11"/>
  <c r="F54" i="25"/>
  <c r="G28" i="25"/>
  <c r="M12" i="18"/>
  <c r="M14" i="18" s="1"/>
  <c r="N25" i="18"/>
  <c r="L20" i="18"/>
  <c r="L18" i="18"/>
  <c r="L17" i="18"/>
  <c r="L21" i="18"/>
  <c r="L19" i="18"/>
  <c r="L23" i="18"/>
  <c r="L16" i="18"/>
  <c r="J79" i="25"/>
  <c r="AA13" i="16"/>
  <c r="AB13" i="16"/>
  <c r="AA16" i="16"/>
  <c r="N16" i="16"/>
  <c r="AB16" i="16"/>
  <c r="E64" i="19"/>
  <c r="M56" i="19"/>
  <c r="M60" i="19"/>
  <c r="M62" i="19"/>
  <c r="M58" i="19"/>
  <c r="Z16" i="17"/>
  <c r="R16" i="17"/>
  <c r="R18" i="17" s="1"/>
  <c r="AA16" i="17"/>
  <c r="M10" i="19"/>
  <c r="W16" i="17"/>
  <c r="K16" i="17"/>
  <c r="AE16" i="17"/>
  <c r="O16" i="17"/>
  <c r="O18" i="17" s="1"/>
  <c r="T16" i="17"/>
  <c r="T18" i="17" s="1"/>
  <c r="AF16" i="17"/>
  <c r="P16" i="17"/>
  <c r="P18" i="17" s="1"/>
  <c r="X16" i="17"/>
  <c r="S16" i="17"/>
  <c r="S18" i="17" s="1"/>
  <c r="L16" i="17"/>
  <c r="L18" i="17" s="1"/>
  <c r="AG16" i="17"/>
  <c r="Y16" i="17"/>
  <c r="AB16" i="17"/>
  <c r="AH16" i="17"/>
  <c r="Q16" i="17"/>
  <c r="Q18" i="17" s="1"/>
  <c r="N16" i="17"/>
  <c r="N18" i="17" s="1"/>
  <c r="AC16" i="17"/>
  <c r="AD16" i="17"/>
  <c r="M16" i="17"/>
  <c r="M18" i="17" s="1"/>
  <c r="U16" i="17"/>
  <c r="U18" i="17" s="1"/>
  <c r="V16" i="17"/>
  <c r="V18" i="17" s="1"/>
  <c r="M61" i="19"/>
  <c r="M59" i="19"/>
  <c r="H64" i="19"/>
  <c r="M55" i="19"/>
  <c r="M63" i="19"/>
  <c r="E51" i="19" a="1"/>
  <c r="E51" i="19" s="1"/>
  <c r="E52" i="19" a="1"/>
  <c r="E52" i="19" s="1"/>
  <c r="E49" i="19" a="1"/>
  <c r="E49" i="19" s="1"/>
  <c r="K69" i="17"/>
  <c r="E48" i="19" a="1"/>
  <c r="E48" i="19" s="1"/>
  <c r="E50" i="19" a="1"/>
  <c r="E50" i="19" s="1"/>
  <c r="M27" i="5"/>
  <c r="Q86" i="17"/>
  <c r="L12" i="5"/>
  <c r="AC86" i="17"/>
  <c r="K50" i="11"/>
  <c r="K104" i="11" s="1"/>
  <c r="N50" i="11"/>
  <c r="N104" i="11" s="1"/>
  <c r="V16" i="11"/>
  <c r="V17" i="11"/>
  <c r="V14" i="11"/>
  <c r="E50" i="11"/>
  <c r="E104" i="11" s="1"/>
  <c r="Q439" i="1" l="1"/>
  <c r="H113" i="11"/>
  <c r="H68" i="25"/>
  <c r="G77" i="25"/>
  <c r="I115" i="25"/>
  <c r="H116" i="25"/>
  <c r="G17" i="25"/>
  <c r="H16" i="25"/>
  <c r="G18" i="25"/>
  <c r="F21" i="25"/>
  <c r="F22" i="25"/>
  <c r="F20" i="25"/>
  <c r="I96" i="25"/>
  <c r="H104" i="25"/>
  <c r="I94" i="25"/>
  <c r="J85" i="25"/>
  <c r="J94" i="25" s="1"/>
  <c r="I112" i="25"/>
  <c r="H113" i="25"/>
  <c r="G54" i="25"/>
  <c r="H28" i="25"/>
  <c r="N12" i="18"/>
  <c r="N14" i="18" s="1"/>
  <c r="O25" i="18"/>
  <c r="M20" i="18"/>
  <c r="M18" i="18"/>
  <c r="M23" i="18"/>
  <c r="M17" i="18"/>
  <c r="M19" i="18"/>
  <c r="M21" i="18"/>
  <c r="M16" i="18"/>
  <c r="AA17" i="17"/>
  <c r="AA18" i="17" s="1"/>
  <c r="R23" i="17"/>
  <c r="R24" i="17"/>
  <c r="AH17" i="17"/>
  <c r="AH18" i="17" s="1"/>
  <c r="L23" i="17"/>
  <c r="L24" i="17"/>
  <c r="Q23" i="17"/>
  <c r="Q24" i="17"/>
  <c r="AB17" i="17"/>
  <c r="AB18" i="17" s="1"/>
  <c r="AG17" i="17"/>
  <c r="AG18" i="17" s="1"/>
  <c r="P23" i="17"/>
  <c r="P24" i="17"/>
  <c r="N24" i="17"/>
  <c r="N23" i="17"/>
  <c r="Z17" i="17"/>
  <c r="Z18" i="17" s="1"/>
  <c r="Y17" i="17"/>
  <c r="Y18" i="17" s="1"/>
  <c r="M64" i="19"/>
  <c r="T23" i="17"/>
  <c r="T24" i="17"/>
  <c r="V24" i="17"/>
  <c r="V23" i="17"/>
  <c r="O24" i="17"/>
  <c r="O23" i="17"/>
  <c r="U24" i="17"/>
  <c r="U23" i="17"/>
  <c r="AE17" i="17"/>
  <c r="AE18" i="17" s="1"/>
  <c r="X17" i="17"/>
  <c r="X18" i="17" s="1"/>
  <c r="AD17" i="17"/>
  <c r="AD18" i="17" s="1"/>
  <c r="S24" i="17"/>
  <c r="S23" i="17"/>
  <c r="AF17" i="17"/>
  <c r="AF18" i="17" s="1"/>
  <c r="M23" i="17"/>
  <c r="M24" i="17"/>
  <c r="E10" i="19"/>
  <c r="K18" i="17"/>
  <c r="W17" i="17"/>
  <c r="W18" i="17" s="1"/>
  <c r="H10" i="19"/>
  <c r="AC17" i="17"/>
  <c r="AC18" i="17" s="1"/>
  <c r="M11" i="19"/>
  <c r="E53" i="19"/>
  <c r="K113" i="11"/>
  <c r="N115" i="11"/>
  <c r="K115" i="11"/>
  <c r="N113" i="11"/>
  <c r="N27" i="5"/>
  <c r="R86" i="17"/>
  <c r="M12" i="5"/>
  <c r="AD86" i="17"/>
  <c r="E115" i="11"/>
  <c r="E121" i="25" s="1"/>
  <c r="E113" i="11"/>
  <c r="E119" i="25" s="1"/>
  <c r="F24" i="25" l="1"/>
  <c r="F26" i="25" s="1"/>
  <c r="F56" i="25" s="1"/>
  <c r="F108" i="25" s="1"/>
  <c r="F109" i="25" s="1"/>
  <c r="G21" i="25"/>
  <c r="G20" i="25"/>
  <c r="G22" i="25"/>
  <c r="H17" i="25"/>
  <c r="H18" i="25" s="1"/>
  <c r="I16" i="25"/>
  <c r="J112" i="25"/>
  <c r="J113" i="25" s="1"/>
  <c r="I113" i="25"/>
  <c r="J96" i="25"/>
  <c r="J104" i="25" s="1"/>
  <c r="I104" i="25"/>
  <c r="J115" i="25"/>
  <c r="J116" i="25" s="1"/>
  <c r="I116" i="25"/>
  <c r="I28" i="25"/>
  <c r="H54" i="25"/>
  <c r="I68" i="25"/>
  <c r="H77" i="25"/>
  <c r="P25" i="18"/>
  <c r="O12" i="18"/>
  <c r="O14" i="18" s="1"/>
  <c r="N23" i="18"/>
  <c r="N19" i="18"/>
  <c r="N17" i="18"/>
  <c r="N18" i="18"/>
  <c r="N20" i="18"/>
  <c r="N21" i="18"/>
  <c r="N16" i="18"/>
  <c r="W23" i="17"/>
  <c r="W24" i="17"/>
  <c r="Y24" i="17"/>
  <c r="Y23" i="17"/>
  <c r="Z23" i="17"/>
  <c r="Z24" i="17"/>
  <c r="AF23" i="17"/>
  <c r="AF24" i="17"/>
  <c r="AH23" i="17"/>
  <c r="AH24" i="17"/>
  <c r="AG24" i="17"/>
  <c r="AG23" i="17"/>
  <c r="AD23" i="17"/>
  <c r="AD24" i="17"/>
  <c r="X23" i="17"/>
  <c r="X24" i="17"/>
  <c r="M12" i="19"/>
  <c r="AE23" i="17"/>
  <c r="AE24" i="17"/>
  <c r="AB23" i="17"/>
  <c r="AB24" i="17"/>
  <c r="K24" i="17"/>
  <c r="E18" i="19" s="1"/>
  <c r="K23" i="17"/>
  <c r="E17" i="19" s="1"/>
  <c r="E12" i="19"/>
  <c r="AC23" i="17"/>
  <c r="AC24" i="17"/>
  <c r="H11" i="19"/>
  <c r="AA23" i="17"/>
  <c r="AA24" i="17"/>
  <c r="O27" i="5"/>
  <c r="N12" i="5"/>
  <c r="S86" i="17"/>
  <c r="AE86" i="17"/>
  <c r="J68" i="25" l="1"/>
  <c r="J77" i="25" s="1"/>
  <c r="I77" i="25"/>
  <c r="I54" i="25"/>
  <c r="J28" i="25"/>
  <c r="J54" i="25" s="1"/>
  <c r="H20" i="25"/>
  <c r="H21" i="25"/>
  <c r="H22" i="25"/>
  <c r="I17" i="25"/>
  <c r="J16" i="25"/>
  <c r="J17" i="25" s="1"/>
  <c r="J18" i="25" s="1"/>
  <c r="J22" i="25" s="1"/>
  <c r="I18" i="25"/>
  <c r="G24" i="25"/>
  <c r="G26" i="25" s="1"/>
  <c r="G56" i="25" s="1"/>
  <c r="G108" i="25" s="1"/>
  <c r="G109" i="25" s="1"/>
  <c r="O20" i="18"/>
  <c r="O18" i="18"/>
  <c r="O23" i="18"/>
  <c r="O19" i="18"/>
  <c r="O21" i="18"/>
  <c r="O17" i="18"/>
  <c r="O16" i="18"/>
  <c r="Q25" i="18"/>
  <c r="P12" i="18"/>
  <c r="P14" i="18" s="1"/>
  <c r="H12" i="19"/>
  <c r="M18" i="19"/>
  <c r="M17" i="19"/>
  <c r="M14" i="19"/>
  <c r="M16" i="19"/>
  <c r="H18" i="19"/>
  <c r="H17" i="19"/>
  <c r="P27" i="5"/>
  <c r="Q27" i="5"/>
  <c r="T86" i="17"/>
  <c r="O12" i="5"/>
  <c r="AF86" i="17"/>
  <c r="I20" i="25" l="1"/>
  <c r="I22" i="25"/>
  <c r="I21" i="25"/>
  <c r="J20" i="25"/>
  <c r="J21" i="25"/>
  <c r="H24" i="25"/>
  <c r="H26" i="25" s="1"/>
  <c r="H56" i="25" s="1"/>
  <c r="H108" i="25" s="1"/>
  <c r="H109" i="25" s="1"/>
  <c r="R25" i="18"/>
  <c r="Q12" i="18"/>
  <c r="Q14" i="18" s="1"/>
  <c r="P20" i="18"/>
  <c r="P18" i="18"/>
  <c r="P17" i="18"/>
  <c r="P21" i="18"/>
  <c r="P23" i="18"/>
  <c r="P19" i="18"/>
  <c r="P16" i="18"/>
  <c r="M19" i="19"/>
  <c r="AG86" i="17"/>
  <c r="U86" i="17"/>
  <c r="P12" i="5"/>
  <c r="I24" i="25" l="1"/>
  <c r="I26" i="25" s="1"/>
  <c r="I56" i="25" s="1"/>
  <c r="I108" i="25" s="1"/>
  <c r="I109" i="25" s="1"/>
  <c r="J24" i="25"/>
  <c r="J26" i="25" s="1"/>
  <c r="J56" i="25" s="1"/>
  <c r="J108" i="25" s="1"/>
  <c r="J109" i="25" s="1"/>
  <c r="Q20" i="18"/>
  <c r="Q18" i="18"/>
  <c r="Q23" i="18"/>
  <c r="Q17" i="18"/>
  <c r="Q21" i="18"/>
  <c r="Q19" i="18"/>
  <c r="Q16" i="18"/>
  <c r="S25" i="18"/>
  <c r="R12" i="18"/>
  <c r="R14" i="18" s="1"/>
  <c r="M21" i="19"/>
  <c r="V86" i="17"/>
  <c r="AH86" i="17"/>
  <c r="Q12" i="5"/>
  <c r="T25" i="18" l="1"/>
  <c r="S12" i="18"/>
  <c r="S14" i="18" s="1"/>
  <c r="R23" i="18"/>
  <c r="R17" i="18"/>
  <c r="R19" i="18"/>
  <c r="R21" i="18"/>
  <c r="R18" i="18"/>
  <c r="R20" i="18"/>
  <c r="R16" i="18"/>
  <c r="M44" i="19"/>
  <c r="M68" i="19"/>
  <c r="V75" i="11"/>
  <c r="S23" i="18" l="1"/>
  <c r="S21" i="18"/>
  <c r="S19" i="18"/>
  <c r="S17" i="18"/>
  <c r="S18" i="18"/>
  <c r="S20" i="18"/>
  <c r="S16" i="18"/>
  <c r="U25" i="18"/>
  <c r="T12" i="18"/>
  <c r="T14" i="18" s="1"/>
  <c r="M92" i="19"/>
  <c r="M93" i="19" s="1"/>
  <c r="U12" i="18" l="1"/>
  <c r="U14" i="18" s="1"/>
  <c r="V25" i="18"/>
  <c r="T21" i="18"/>
  <c r="T19" i="18"/>
  <c r="T17" i="18"/>
  <c r="T18" i="18"/>
  <c r="T20" i="18"/>
  <c r="T23" i="18"/>
  <c r="T16" i="18"/>
  <c r="M94" i="19"/>
  <c r="W25" i="18" l="1"/>
  <c r="V12" i="18"/>
  <c r="V14" i="18" s="1"/>
  <c r="U21" i="18"/>
  <c r="U19" i="18"/>
  <c r="U17" i="18"/>
  <c r="U18" i="18"/>
  <c r="U20" i="18"/>
  <c r="U23" i="18"/>
  <c r="U16" i="18"/>
  <c r="B3" i="20"/>
  <c r="E21" i="20" s="1"/>
  <c r="B3" i="5"/>
  <c r="AD7" i="16"/>
  <c r="AG7" i="16" s="1"/>
  <c r="AD12" i="16"/>
  <c r="AJ12" i="16" s="1"/>
  <c r="C6" i="4"/>
  <c r="D40" i="4" s="1"/>
  <c r="AD24" i="16"/>
  <c r="AI24" i="16" s="1"/>
  <c r="AD19" i="16"/>
  <c r="AH19" i="16" s="1"/>
  <c r="AD17" i="16"/>
  <c r="AJ17" i="16" s="1"/>
  <c r="AD8" i="16"/>
  <c r="AJ8" i="16" s="1"/>
  <c r="AD23" i="16"/>
  <c r="AJ23" i="16" s="1"/>
  <c r="AD22" i="16"/>
  <c r="AI22" i="16" s="1"/>
  <c r="AE22" i="16"/>
  <c r="AD25" i="16"/>
  <c r="AF25" i="16" s="1"/>
  <c r="AD29" i="16"/>
  <c r="AE29" i="16" s="1"/>
  <c r="AD30" i="16"/>
  <c r="AF30" i="16" s="1"/>
  <c r="AD26" i="16"/>
  <c r="AJ26" i="16" s="1"/>
  <c r="AE26" i="16"/>
  <c r="AD15" i="16"/>
  <c r="AH15" i="16" s="1"/>
  <c r="AD9" i="16"/>
  <c r="AJ9" i="16" s="1"/>
  <c r="AD16" i="16"/>
  <c r="AJ16" i="16" s="1"/>
  <c r="AD27" i="16"/>
  <c r="AI27" i="16" s="1"/>
  <c r="AD28" i="16"/>
  <c r="AJ28" i="16" s="1"/>
  <c r="C4" i="19"/>
  <c r="I60" i="19" s="1"/>
  <c r="B7" i="17"/>
  <c r="AD18" i="16"/>
  <c r="AJ18" i="16" s="1"/>
  <c r="AD21" i="16"/>
  <c r="AI21" i="16" s="1"/>
  <c r="AD20" i="16"/>
  <c r="AH20" i="16" s="1"/>
  <c r="AD11" i="16"/>
  <c r="AH11" i="16" s="1"/>
  <c r="AD6" i="16"/>
  <c r="AE6" i="16" s="1"/>
  <c r="AD13" i="16"/>
  <c r="AG13" i="16" s="1"/>
  <c r="AD14" i="16"/>
  <c r="AF14" i="16" s="1"/>
  <c r="AD10" i="16"/>
  <c r="AE10" i="16" s="1"/>
  <c r="B3" i="7"/>
  <c r="AA90" i="17" s="1" a="1"/>
  <c r="AA90" i="17" s="1"/>
  <c r="AD5" i="16"/>
  <c r="AJ5" i="16" s="1"/>
  <c r="AD4" i="16"/>
  <c r="C4" i="11"/>
  <c r="O29" i="11" s="1"/>
  <c r="AB31" i="16"/>
  <c r="C6" i="21"/>
  <c r="D40" i="21" s="1"/>
  <c r="F40" i="21" s="1"/>
  <c r="C9" i="21" s="1"/>
  <c r="C10" i="21" s="1"/>
  <c r="AF118" i="17" l="1"/>
  <c r="AF119" i="17" s="1"/>
  <c r="Y9" i="17"/>
  <c r="W9" i="17"/>
  <c r="V9" i="17"/>
  <c r="S9" i="17"/>
  <c r="AH9" i="17"/>
  <c r="Q9" i="17"/>
  <c r="N9" i="17"/>
  <c r="M9" i="17"/>
  <c r="L9" i="17"/>
  <c r="X9" i="17"/>
  <c r="AG9" i="17"/>
  <c r="P9" i="17"/>
  <c r="O9" i="17"/>
  <c r="R9" i="17"/>
  <c r="AF9" i="17"/>
  <c r="AD9" i="17"/>
  <c r="AC9" i="17"/>
  <c r="AB9" i="17"/>
  <c r="Z9" i="17"/>
  <c r="U9" i="17"/>
  <c r="T9" i="17"/>
  <c r="AE9" i="17"/>
  <c r="AA9" i="17"/>
  <c r="W48" i="11"/>
  <c r="W71" i="11"/>
  <c r="AF19" i="16"/>
  <c r="AF12" i="16"/>
  <c r="L24" i="11"/>
  <c r="S18" i="11"/>
  <c r="L31" i="11"/>
  <c r="O39" i="11"/>
  <c r="W106" i="11"/>
  <c r="I67" i="11"/>
  <c r="F93" i="11"/>
  <c r="L55" i="11"/>
  <c r="W28" i="11"/>
  <c r="W95" i="11"/>
  <c r="O95" i="11"/>
  <c r="W27" i="11"/>
  <c r="L73" i="11"/>
  <c r="W81" i="11"/>
  <c r="L48" i="11"/>
  <c r="F33" i="11"/>
  <c r="O83" i="11"/>
  <c r="L10" i="11"/>
  <c r="L90" i="11"/>
  <c r="O77" i="11"/>
  <c r="S112" i="11"/>
  <c r="L81" i="11"/>
  <c r="O38" i="11"/>
  <c r="I96" i="11"/>
  <c r="L68" i="11"/>
  <c r="I57" i="11"/>
  <c r="F73" i="11"/>
  <c r="S25" i="11"/>
  <c r="AF7" i="16"/>
  <c r="AG20" i="16"/>
  <c r="O59" i="11"/>
  <c r="O112" i="11"/>
  <c r="AG27" i="16"/>
  <c r="Q92" i="17" a="1"/>
  <c r="Q92" i="17" s="1"/>
  <c r="AE16" i="16"/>
  <c r="AJ30" i="16"/>
  <c r="O81" i="11"/>
  <c r="AI13" i="16"/>
  <c r="C7" i="17"/>
  <c r="AG29" i="16"/>
  <c r="AJ24" i="16"/>
  <c r="L95" i="11"/>
  <c r="O25" i="11"/>
  <c r="O60" i="11"/>
  <c r="I70" i="11"/>
  <c r="L74" i="11"/>
  <c r="I37" i="11"/>
  <c r="I85" i="11"/>
  <c r="W40" i="11"/>
  <c r="L83" i="11"/>
  <c r="AI5" i="16"/>
  <c r="AF13" i="16"/>
  <c r="O118" i="17"/>
  <c r="O119" i="17" s="1"/>
  <c r="AH27" i="16"/>
  <c r="AH29" i="16"/>
  <c r="AG24" i="16"/>
  <c r="AI14" i="16"/>
  <c r="AE18" i="16"/>
  <c r="N62" i="19"/>
  <c r="O100" i="11"/>
  <c r="H37" i="18"/>
  <c r="I37" i="18" s="1"/>
  <c r="O93" i="11"/>
  <c r="I83" i="11"/>
  <c r="F31" i="11"/>
  <c r="I75" i="11"/>
  <c r="I36" i="11"/>
  <c r="L71" i="11"/>
  <c r="I58" i="11"/>
  <c r="AF18" i="16"/>
  <c r="AI30" i="16"/>
  <c r="L14" i="11"/>
  <c r="O79" i="11"/>
  <c r="L106" i="11"/>
  <c r="W87" i="11"/>
  <c r="L77" i="11"/>
  <c r="I109" i="11"/>
  <c r="F103" i="11"/>
  <c r="F21" i="11"/>
  <c r="AH13" i="16"/>
  <c r="F95" i="11"/>
  <c r="O103" i="11"/>
  <c r="L86" i="11"/>
  <c r="I91" i="11"/>
  <c r="I25" i="11"/>
  <c r="L62" i="11"/>
  <c r="AE13" i="16"/>
  <c r="F39" i="11"/>
  <c r="O12" i="11"/>
  <c r="F75" i="11"/>
  <c r="S107" i="11"/>
  <c r="F25" i="11"/>
  <c r="L23" i="11"/>
  <c r="I62" i="11"/>
  <c r="W97" i="11"/>
  <c r="I28" i="11"/>
  <c r="W86" i="11"/>
  <c r="AH24" i="16"/>
  <c r="L65" i="11"/>
  <c r="I79" i="11"/>
  <c r="AE5" i="16"/>
  <c r="I110" i="11"/>
  <c r="F81" i="11"/>
  <c r="F12" i="11"/>
  <c r="F90" i="11"/>
  <c r="L92" i="11"/>
  <c r="AH5" i="16"/>
  <c r="AE118" i="17"/>
  <c r="AE119" i="17" s="1"/>
  <c r="L96" i="11"/>
  <c r="L12" i="11"/>
  <c r="O65" i="11"/>
  <c r="O58" i="11"/>
  <c r="AG11" i="16"/>
  <c r="W85" i="11"/>
  <c r="N118" i="17"/>
  <c r="N119" i="17" s="1"/>
  <c r="AE23" i="16"/>
  <c r="AE7" i="16"/>
  <c r="O23" i="11"/>
  <c r="W24" i="11"/>
  <c r="L80" i="11"/>
  <c r="F83" i="11"/>
  <c r="O80" i="11"/>
  <c r="S30" i="11"/>
  <c r="I98" i="11"/>
  <c r="S59" i="11"/>
  <c r="W96" i="11"/>
  <c r="I71" i="11"/>
  <c r="S48" i="11"/>
  <c r="O110" i="11"/>
  <c r="O21" i="11"/>
  <c r="AH23" i="16"/>
  <c r="AE14" i="16"/>
  <c r="AH18" i="16"/>
  <c r="F53" i="19"/>
  <c r="O10" i="11"/>
  <c r="L37" i="11"/>
  <c r="I112" i="11"/>
  <c r="O54" i="11"/>
  <c r="I55" i="11"/>
  <c r="S110" i="11"/>
  <c r="AG28" i="16"/>
  <c r="L69" i="11"/>
  <c r="O11" i="11"/>
  <c r="I92" i="11"/>
  <c r="AF28" i="16"/>
  <c r="AE24" i="16"/>
  <c r="F56" i="11"/>
  <c r="F67" i="11"/>
  <c r="S109" i="11"/>
  <c r="F30" i="11"/>
  <c r="O69" i="11"/>
  <c r="I107" i="11"/>
  <c r="I86" i="11"/>
  <c r="L87" i="11"/>
  <c r="L88" i="11"/>
  <c r="AG5" i="16"/>
  <c r="AJ13" i="16"/>
  <c r="I24" i="11"/>
  <c r="F91" i="11"/>
  <c r="W67" i="11"/>
  <c r="O107" i="11"/>
  <c r="W70" i="11"/>
  <c r="I56" i="11"/>
  <c r="S70" i="11"/>
  <c r="I93" i="11"/>
  <c r="W11" i="11"/>
  <c r="AI10" i="16"/>
  <c r="AF20" i="16"/>
  <c r="M118" i="17"/>
  <c r="M119" i="17" s="1"/>
  <c r="AE15" i="16"/>
  <c r="AG23" i="16"/>
  <c r="AH7" i="16"/>
  <c r="O96" i="11"/>
  <c r="S21" i="11"/>
  <c r="W69" i="11"/>
  <c r="S32" i="11"/>
  <c r="I90" i="11"/>
  <c r="I76" i="11"/>
  <c r="L82" i="11"/>
  <c r="W80" i="11"/>
  <c r="O84" i="11"/>
  <c r="F79" i="11"/>
  <c r="I69" i="11"/>
  <c r="L59" i="11"/>
  <c r="W93" i="11"/>
  <c r="L76" i="11"/>
  <c r="L35" i="11"/>
  <c r="L58" i="11"/>
  <c r="O67" i="11"/>
  <c r="F102" i="11"/>
  <c r="W56" i="11"/>
  <c r="O55" i="11"/>
  <c r="F92" i="11"/>
  <c r="I95" i="11"/>
  <c r="S63" i="11"/>
  <c r="O106" i="11"/>
  <c r="I63" i="11"/>
  <c r="W76" i="11"/>
  <c r="S54" i="11"/>
  <c r="W90" i="11"/>
  <c r="S65" i="11"/>
  <c r="F77" i="11"/>
  <c r="I18" i="11"/>
  <c r="F66" i="11"/>
  <c r="O98" i="11"/>
  <c r="L103" i="11"/>
  <c r="W73" i="11"/>
  <c r="F112" i="11"/>
  <c r="AH10" i="16"/>
  <c r="AJ15" i="16"/>
  <c r="AE8" i="16"/>
  <c r="V17" i="18"/>
  <c r="V18" i="18"/>
  <c r="V19" i="18"/>
  <c r="V23" i="18"/>
  <c r="V20" i="18"/>
  <c r="V21" i="18"/>
  <c r="V16" i="18"/>
  <c r="X25" i="18"/>
  <c r="W12" i="18"/>
  <c r="W14" i="18" s="1"/>
  <c r="AF4" i="16"/>
  <c r="AD31" i="16"/>
  <c r="F96" i="11"/>
  <c r="S31" i="11"/>
  <c r="L16" i="11"/>
  <c r="O48" i="11"/>
  <c r="F36" i="11"/>
  <c r="F106" i="11"/>
  <c r="O37" i="11"/>
  <c r="F98" i="11"/>
  <c r="F85" i="11"/>
  <c r="F60" i="11"/>
  <c r="L29" i="11"/>
  <c r="W10" i="11"/>
  <c r="W65" i="11"/>
  <c r="F107" i="11"/>
  <c r="S58" i="11"/>
  <c r="F40" i="11"/>
  <c r="W36" i="11"/>
  <c r="I100" i="11"/>
  <c r="AI4" i="16"/>
  <c r="AG14" i="16"/>
  <c r="AF11" i="16"/>
  <c r="AG18" i="16"/>
  <c r="AH118" i="17"/>
  <c r="AH119" i="17" s="1"/>
  <c r="F24" i="19"/>
  <c r="AI28" i="16"/>
  <c r="AJ27" i="16"/>
  <c r="AI15" i="16"/>
  <c r="AF29" i="16"/>
  <c r="AJ11" i="16"/>
  <c r="Z118" i="17"/>
  <c r="Z119" i="17" s="1"/>
  <c r="I23" i="19"/>
  <c r="O97" i="11"/>
  <c r="I12" i="11"/>
  <c r="W33" i="11"/>
  <c r="W64" i="11"/>
  <c r="I16" i="11"/>
  <c r="L27" i="11"/>
  <c r="O64" i="11"/>
  <c r="W55" i="11"/>
  <c r="F69" i="11"/>
  <c r="S29" i="11"/>
  <c r="L11" i="11"/>
  <c r="O16" i="11"/>
  <c r="L97" i="11"/>
  <c r="W23" i="11"/>
  <c r="O17" i="11"/>
  <c r="S62" i="11"/>
  <c r="F94" i="11"/>
  <c r="W54" i="11"/>
  <c r="AF5" i="16"/>
  <c r="AI11" i="16"/>
  <c r="AI18" i="16"/>
  <c r="AB118" i="17"/>
  <c r="AB119" i="17" s="1"/>
  <c r="I52" i="19"/>
  <c r="AG15" i="16"/>
  <c r="AI29" i="16"/>
  <c r="F27" i="11"/>
  <c r="W92" i="11"/>
  <c r="F74" i="11"/>
  <c r="S27" i="11"/>
  <c r="F65" i="11"/>
  <c r="O66" i="11"/>
  <c r="I27" i="11"/>
  <c r="L28" i="11"/>
  <c r="I82" i="11"/>
  <c r="L17" i="11"/>
  <c r="W26" i="11"/>
  <c r="W39" i="11"/>
  <c r="O85" i="11"/>
  <c r="F54" i="11"/>
  <c r="F24" i="11"/>
  <c r="S17" i="11"/>
  <c r="F87" i="11"/>
  <c r="I115" i="11"/>
  <c r="AF6" i="16"/>
  <c r="AE21" i="16"/>
  <c r="Y118" i="17"/>
  <c r="Y119" i="17" s="1"/>
  <c r="V118" i="17"/>
  <c r="V119" i="17" s="1"/>
  <c r="AJ22" i="16"/>
  <c r="AG8" i="16"/>
  <c r="AE19" i="16"/>
  <c r="AI12" i="16"/>
  <c r="F14" i="11"/>
  <c r="AF26" i="16"/>
  <c r="AG22" i="16"/>
  <c r="AF8" i="16"/>
  <c r="O34" i="11"/>
  <c r="O35" i="11"/>
  <c r="O71" i="11"/>
  <c r="W82" i="11"/>
  <c r="L98" i="11"/>
  <c r="F11" i="11"/>
  <c r="I77" i="11"/>
  <c r="F48" i="11"/>
  <c r="F37" i="11"/>
  <c r="F64" i="11"/>
  <c r="O32" i="11"/>
  <c r="L70" i="11"/>
  <c r="I31" i="11"/>
  <c r="O88" i="11"/>
  <c r="I81" i="11"/>
  <c r="O75" i="11"/>
  <c r="L47" i="11"/>
  <c r="W17" i="11"/>
  <c r="AI6" i="16"/>
  <c r="AF21" i="16"/>
  <c r="X118" i="17"/>
  <c r="X119" i="17" s="1"/>
  <c r="Q118" i="17"/>
  <c r="Q119" i="17" s="1"/>
  <c r="K9" i="17"/>
  <c r="AH8" i="16"/>
  <c r="AF24" i="16"/>
  <c r="AG12" i="16"/>
  <c r="I39" i="11"/>
  <c r="W68" i="11"/>
  <c r="L64" i="11"/>
  <c r="W83" i="11"/>
  <c r="O94" i="11"/>
  <c r="F63" i="11"/>
  <c r="O109" i="11"/>
  <c r="I35" i="11"/>
  <c r="L40" i="11"/>
  <c r="F47" i="11"/>
  <c r="I17" i="11"/>
  <c r="S64" i="11"/>
  <c r="W31" i="11"/>
  <c r="L79" i="11"/>
  <c r="L102" i="11"/>
  <c r="F59" i="11"/>
  <c r="S98" i="11"/>
  <c r="F55" i="11"/>
  <c r="O115" i="11"/>
  <c r="AG21" i="16"/>
  <c r="AE27" i="16"/>
  <c r="AI8" i="16"/>
  <c r="AE12" i="16"/>
  <c r="W118" i="17"/>
  <c r="W119" i="17" s="1"/>
  <c r="AG19" i="16"/>
  <c r="S100" i="11"/>
  <c r="I33" i="11"/>
  <c r="O26" i="11"/>
  <c r="L93" i="11"/>
  <c r="O57" i="11"/>
  <c r="S74" i="11"/>
  <c r="O30" i="11"/>
  <c r="F18" i="11"/>
  <c r="S16" i="11"/>
  <c r="L63" i="11"/>
  <c r="I47" i="11"/>
  <c r="S60" i="11"/>
  <c r="F58" i="11"/>
  <c r="L25" i="11"/>
  <c r="I74" i="11"/>
  <c r="W91" i="11"/>
  <c r="S115" i="11"/>
  <c r="L115" i="11"/>
  <c r="AH14" i="16"/>
  <c r="AH21" i="16"/>
  <c r="U118" i="17"/>
  <c r="U119" i="17" s="1"/>
  <c r="AH12" i="16"/>
  <c r="AC11" i="17"/>
  <c r="AC21" i="17" s="1"/>
  <c r="AC20" i="17" s="1"/>
  <c r="AC25" i="17" s="1"/>
  <c r="AC27" i="17" s="1"/>
  <c r="AC58" i="17" s="1"/>
  <c r="AC112" i="17" s="1"/>
  <c r="AC113" i="17" s="1"/>
  <c r="AI19" i="16"/>
  <c r="F76" i="11"/>
  <c r="O47" i="11"/>
  <c r="I66" i="11"/>
  <c r="F115" i="11"/>
  <c r="P118" i="17"/>
  <c r="P119" i="17" s="1"/>
  <c r="AA118" i="17"/>
  <c r="AA119" i="17" s="1"/>
  <c r="R118" i="17"/>
  <c r="R119" i="17" s="1"/>
  <c r="AF27" i="16"/>
  <c r="AF15" i="16"/>
  <c r="O31" i="11"/>
  <c r="O76" i="11"/>
  <c r="O28" i="11"/>
  <c r="O36" i="11"/>
  <c r="S75" i="11"/>
  <c r="S71" i="11"/>
  <c r="F17" i="11"/>
  <c r="O56" i="11"/>
  <c r="L57" i="11"/>
  <c r="S12" i="11"/>
  <c r="S28" i="11"/>
  <c r="W30" i="11"/>
  <c r="F57" i="11"/>
  <c r="L67" i="11"/>
  <c r="I40" i="11"/>
  <c r="F100" i="11"/>
  <c r="AG4" i="16"/>
  <c r="AJ14" i="16"/>
  <c r="AE11" i="16"/>
  <c r="AG11" i="17"/>
  <c r="AG21" i="17" s="1"/>
  <c r="AG20" i="17" s="1"/>
  <c r="AG25" i="17" s="1"/>
  <c r="AG27" i="17" s="1"/>
  <c r="AG58" i="17" s="1"/>
  <c r="AG112" i="17" s="1"/>
  <c r="AG113" i="17" s="1"/>
  <c r="T95" i="17" a="1"/>
  <c r="T95" i="17" s="1"/>
  <c r="P94" i="17" a="1"/>
  <c r="P94" i="17" s="1"/>
  <c r="V92" i="17" a="1"/>
  <c r="V92" i="17" s="1"/>
  <c r="F31" i="19"/>
  <c r="M92" i="17" a="1"/>
  <c r="M92" i="17" s="1"/>
  <c r="S95" i="17" a="1"/>
  <c r="S95" i="17" s="1"/>
  <c r="W94" i="17" a="1"/>
  <c r="W94" i="17" s="1"/>
  <c r="N26" i="19"/>
  <c r="N12" i="19"/>
  <c r="P90" i="17" a="1"/>
  <c r="P90" i="17" s="1"/>
  <c r="Q95" i="17" a="1"/>
  <c r="Q95" i="17" s="1"/>
  <c r="F10" i="19"/>
  <c r="U92" i="17" a="1"/>
  <c r="U92" i="17" s="1"/>
  <c r="AD93" i="17" a="1"/>
  <c r="AD93" i="17" s="1"/>
  <c r="N67" i="19"/>
  <c r="N14" i="19"/>
  <c r="T92" i="17" a="1"/>
  <c r="T92" i="17" s="1"/>
  <c r="L91" i="17" a="1"/>
  <c r="L91" i="17" s="1"/>
  <c r="I27" i="19"/>
  <c r="F40" i="4"/>
  <c r="F64" i="25" s="1"/>
  <c r="V58" i="11"/>
  <c r="I51" i="19"/>
  <c r="AC91" i="17" a="1"/>
  <c r="AC91" i="17" s="1"/>
  <c r="AH91" i="17" a="1"/>
  <c r="AH91" i="17" s="1"/>
  <c r="N31" i="19"/>
  <c r="AB91" i="17" a="1"/>
  <c r="AB91" i="17" s="1"/>
  <c r="U91" i="17" a="1"/>
  <c r="U91" i="17" s="1"/>
  <c r="AE95" i="17" a="1"/>
  <c r="AE95" i="17" s="1"/>
  <c r="N27" i="19"/>
  <c r="AE93" i="17" a="1"/>
  <c r="AE93" i="17" s="1"/>
  <c r="I32" i="19"/>
  <c r="N57" i="19"/>
  <c r="AF16" i="16"/>
  <c r="AG16" i="16"/>
  <c r="AH16" i="16"/>
  <c r="AI16" i="16"/>
  <c r="O92" i="17" a="1"/>
  <c r="O92" i="17" s="1"/>
  <c r="Q91" i="17" a="1"/>
  <c r="Q91" i="17" s="1"/>
  <c r="I24" i="19"/>
  <c r="AE94" i="17" a="1"/>
  <c r="AE94" i="17" s="1"/>
  <c r="N93" i="19"/>
  <c r="N93" i="17" a="1"/>
  <c r="N93" i="17" s="1"/>
  <c r="F36" i="19"/>
  <c r="AB95" i="17" a="1"/>
  <c r="AB95" i="17" s="1"/>
  <c r="N41" i="19"/>
  <c r="U95" i="17" a="1"/>
  <c r="U95" i="17" s="1"/>
  <c r="AC95" i="17" a="1"/>
  <c r="AC95" i="17" s="1"/>
  <c r="AG94" i="17" a="1"/>
  <c r="AG94" i="17" s="1"/>
  <c r="I42" i="19"/>
  <c r="AC94" i="17" a="1"/>
  <c r="AC94" i="17" s="1"/>
  <c r="V93" i="17" a="1"/>
  <c r="V93" i="17" s="1"/>
  <c r="I18" i="19"/>
  <c r="N63" i="19"/>
  <c r="F60" i="19"/>
  <c r="F26" i="19"/>
  <c r="N28" i="19"/>
  <c r="I25" i="19"/>
  <c r="I38" i="19"/>
  <c r="I87" i="19"/>
  <c r="F17" i="19"/>
  <c r="F52" i="19"/>
  <c r="I59" i="19"/>
  <c r="I37" i="19"/>
  <c r="I53" i="19"/>
  <c r="F29" i="19"/>
  <c r="F41" i="19"/>
  <c r="F39" i="19"/>
  <c r="N68" i="19"/>
  <c r="N64" i="19"/>
  <c r="F55" i="19"/>
  <c r="I63" i="19"/>
  <c r="N52" i="19"/>
  <c r="F40" i="19"/>
  <c r="I12" i="19"/>
  <c r="N58" i="19"/>
  <c r="F63" i="19"/>
  <c r="I34" i="19"/>
  <c r="N29" i="19"/>
  <c r="I49" i="19"/>
  <c r="F87" i="19"/>
  <c r="I11" i="19"/>
  <c r="N61" i="19"/>
  <c r="N84" i="19"/>
  <c r="N69" i="19"/>
  <c r="F42" i="19"/>
  <c r="N32" i="19"/>
  <c r="I29" i="19"/>
  <c r="F18" i="19"/>
  <c r="N60" i="19"/>
  <c r="I86" i="19"/>
  <c r="I40" i="19"/>
  <c r="F86" i="19"/>
  <c r="F38" i="19"/>
  <c r="N33" i="19"/>
  <c r="N19" i="19"/>
  <c r="F48" i="19"/>
  <c r="N48" i="19"/>
  <c r="N42" i="19"/>
  <c r="N49" i="19"/>
  <c r="N34" i="19"/>
  <c r="I39" i="19"/>
  <c r="N16" i="19"/>
  <c r="F49" i="19"/>
  <c r="F61" i="19"/>
  <c r="F33" i="19"/>
  <c r="N37" i="19"/>
  <c r="I31" i="19"/>
  <c r="I17" i="19"/>
  <c r="F50" i="19"/>
  <c r="I58" i="19"/>
  <c r="N30" i="19"/>
  <c r="I35" i="19"/>
  <c r="F97" i="19"/>
  <c r="N97" i="19" s="1"/>
  <c r="I50" i="19"/>
  <c r="N11" i="19"/>
  <c r="I55" i="19"/>
  <c r="N86" i="19"/>
  <c r="I97" i="19"/>
  <c r="F64" i="19"/>
  <c r="I61" i="19"/>
  <c r="N25" i="19"/>
  <c r="F96" i="19"/>
  <c r="N59" i="19"/>
  <c r="I62" i="19"/>
  <c r="N96" i="19"/>
  <c r="F23" i="19"/>
  <c r="F51" i="19"/>
  <c r="N23" i="19"/>
  <c r="F11" i="19"/>
  <c r="I84" i="19"/>
  <c r="I64" i="19"/>
  <c r="I26" i="19"/>
  <c r="I36" i="19"/>
  <c r="N87" i="19"/>
  <c r="N55" i="19"/>
  <c r="N36" i="19"/>
  <c r="I41" i="19"/>
  <c r="N10" i="19"/>
  <c r="F27" i="19"/>
  <c r="N40" i="19"/>
  <c r="I96" i="19"/>
  <c r="F35" i="19"/>
  <c r="N44" i="19"/>
  <c r="N56" i="19"/>
  <c r="N38" i="19"/>
  <c r="I28" i="19"/>
  <c r="F32" i="19"/>
  <c r="F12" i="19"/>
  <c r="F59" i="19"/>
  <c r="F84" i="19"/>
  <c r="F37" i="19"/>
  <c r="I33" i="19"/>
  <c r="I10" i="19"/>
  <c r="I56" i="19"/>
  <c r="N39" i="19"/>
  <c r="N24" i="19"/>
  <c r="N70" i="19"/>
  <c r="N17" i="19"/>
  <c r="Q105" i="7"/>
  <c r="N50" i="19"/>
  <c r="N18" i="19"/>
  <c r="N35" i="19"/>
  <c r="AA94" i="17" a="1"/>
  <c r="AA94" i="17" s="1"/>
  <c r="F34" i="19"/>
  <c r="AC93" i="17" a="1"/>
  <c r="AC93" i="17" s="1"/>
  <c r="P95" i="17" a="1"/>
  <c r="P95" i="17" s="1"/>
  <c r="O94" i="17" a="1"/>
  <c r="O94" i="17" s="1"/>
  <c r="M91" i="17" a="1"/>
  <c r="M91" i="17" s="1"/>
  <c r="S92" i="17" a="1"/>
  <c r="S92" i="17" s="1"/>
  <c r="F25" i="19"/>
  <c r="F62" i="19"/>
  <c r="F21" i="20"/>
  <c r="G21" i="20" s="1"/>
  <c r="H21" i="20" s="1"/>
  <c r="I21" i="20" s="1"/>
  <c r="J21" i="20" s="1"/>
  <c r="K21" i="20" s="1"/>
  <c r="L21" i="20" s="1"/>
  <c r="M21" i="20" s="1"/>
  <c r="N21" i="20" s="1"/>
  <c r="O21" i="20" s="1"/>
  <c r="P21" i="20" s="1"/>
  <c r="W93" i="17" a="1"/>
  <c r="W93" i="17" s="1"/>
  <c r="AG91" i="17" a="1"/>
  <c r="AG91" i="17" s="1"/>
  <c r="Z94" i="17" a="1"/>
  <c r="Z94" i="17" s="1"/>
  <c r="O95" i="17" a="1"/>
  <c r="O95" i="17" s="1"/>
  <c r="F30" i="19"/>
  <c r="F56" i="19"/>
  <c r="W90" i="17" a="1"/>
  <c r="W90" i="17" s="1"/>
  <c r="Y90" i="17" a="1"/>
  <c r="Y90" i="17" s="1"/>
  <c r="U90" i="17" a="1"/>
  <c r="U90" i="17" s="1"/>
  <c r="Z90" i="17" a="1"/>
  <c r="Z90" i="17" s="1"/>
  <c r="S90" i="17" a="1"/>
  <c r="S90" i="17" s="1"/>
  <c r="AF90" i="17" a="1"/>
  <c r="AF90" i="17" s="1"/>
  <c r="AG90" i="17" a="1"/>
  <c r="AG90" i="17" s="1"/>
  <c r="AH90" i="17" a="1"/>
  <c r="AH90" i="17" s="1"/>
  <c r="AE90" i="17" a="1"/>
  <c r="AE90" i="17" s="1"/>
  <c r="M90" i="17" a="1"/>
  <c r="M90" i="17" s="1"/>
  <c r="K90" i="17" a="1"/>
  <c r="K90" i="17" s="1"/>
  <c r="R90" i="17" a="1"/>
  <c r="R90" i="17" s="1"/>
  <c r="N90" i="17" a="1"/>
  <c r="N90" i="17" s="1"/>
  <c r="X90" i="17" a="1"/>
  <c r="X90" i="17" s="1"/>
  <c r="AC90" i="17" a="1"/>
  <c r="AC90" i="17" s="1"/>
  <c r="U94" i="17" a="1"/>
  <c r="U94" i="17" s="1"/>
  <c r="L92" i="17" a="1"/>
  <c r="L92" i="17" s="1"/>
  <c r="AA91" i="17" a="1"/>
  <c r="AA91" i="17" s="1"/>
  <c r="P92" i="17" a="1"/>
  <c r="P92" i="17" s="1"/>
  <c r="W91" i="17" a="1"/>
  <c r="W91" i="17" s="1"/>
  <c r="AE92" i="17" a="1"/>
  <c r="AE92" i="17" s="1"/>
  <c r="N92" i="17" a="1"/>
  <c r="N92" i="17" s="1"/>
  <c r="N94" i="17" a="1"/>
  <c r="N94" i="17" s="1"/>
  <c r="T91" i="17" a="1"/>
  <c r="T91" i="17" s="1"/>
  <c r="AA95" i="17" a="1"/>
  <c r="AA95" i="17" s="1"/>
  <c r="L95" i="17" a="1"/>
  <c r="L95" i="17" s="1"/>
  <c r="AF94" i="17" a="1"/>
  <c r="AF94" i="17" s="1"/>
  <c r="W92" i="17" a="1"/>
  <c r="W92" i="17" s="1"/>
  <c r="W95" i="17" a="1"/>
  <c r="W95" i="17" s="1"/>
  <c r="K95" i="17" a="1"/>
  <c r="K95" i="17" s="1"/>
  <c r="V90" i="17" a="1"/>
  <c r="V90" i="17" s="1"/>
  <c r="AB90" i="17" a="1"/>
  <c r="AB90" i="17" s="1"/>
  <c r="AG92" i="17" a="1"/>
  <c r="AG92" i="17" s="1"/>
  <c r="Z91" i="17" a="1"/>
  <c r="Z91" i="17" s="1"/>
  <c r="X91" i="17" a="1"/>
  <c r="X91" i="17" s="1"/>
  <c r="R91" i="17" a="1"/>
  <c r="R91" i="17" s="1"/>
  <c r="R94" i="17" a="1"/>
  <c r="R94" i="17" s="1"/>
  <c r="L90" i="17" a="1"/>
  <c r="L90" i="17" s="1"/>
  <c r="AA92" i="17" a="1"/>
  <c r="AA92" i="17" s="1"/>
  <c r="AH94" i="17" a="1"/>
  <c r="AH94" i="17" s="1"/>
  <c r="Y95" i="17" a="1"/>
  <c r="Y95" i="17" s="1"/>
  <c r="AH92" i="17" a="1"/>
  <c r="AH92" i="17" s="1"/>
  <c r="M94" i="17" a="1"/>
  <c r="M94" i="17" s="1"/>
  <c r="AH95" i="17" a="1"/>
  <c r="AH95" i="17" s="1"/>
  <c r="X92" i="17" a="1"/>
  <c r="X92" i="17" s="1"/>
  <c r="AB93" i="17" a="1"/>
  <c r="AB93" i="17" s="1"/>
  <c r="AH93" i="17" a="1"/>
  <c r="AH93" i="17" s="1"/>
  <c r="O91" i="17" a="1"/>
  <c r="O91" i="17" s="1"/>
  <c r="X95" i="17" a="1"/>
  <c r="X95" i="17" s="1"/>
  <c r="AA93" i="17" a="1"/>
  <c r="AA93" i="17" s="1"/>
  <c r="Q94" i="17" a="1"/>
  <c r="Q94" i="17" s="1"/>
  <c r="Z95" i="17" a="1"/>
  <c r="Z95" i="17" s="1"/>
  <c r="AB92" i="17" a="1"/>
  <c r="AB92" i="17" s="1"/>
  <c r="S91" i="17" a="1"/>
  <c r="S91" i="17" s="1"/>
  <c r="Y94" i="17" a="1"/>
  <c r="Y94" i="17" s="1"/>
  <c r="Q90" i="17" a="1"/>
  <c r="Q90" i="17" s="1"/>
  <c r="O93" i="17" a="1"/>
  <c r="O93" i="17" s="1"/>
  <c r="AD91" i="17" a="1"/>
  <c r="AD91" i="17" s="1"/>
  <c r="P93" i="17" a="1"/>
  <c r="P93" i="17" s="1"/>
  <c r="N95" i="17" a="1"/>
  <c r="N95" i="17" s="1"/>
  <c r="T93" i="17" a="1"/>
  <c r="T93" i="17" s="1"/>
  <c r="Z92" i="17" a="1"/>
  <c r="Z92" i="17" s="1"/>
  <c r="T90" i="17" a="1"/>
  <c r="T90" i="17" s="1"/>
  <c r="L94" i="17" a="1"/>
  <c r="L94" i="17" s="1"/>
  <c r="Y91" i="17" a="1"/>
  <c r="Y91" i="17" s="1"/>
  <c r="L93" i="17" a="1"/>
  <c r="L93" i="17" s="1"/>
  <c r="AD94" i="17" a="1"/>
  <c r="AD94" i="17" s="1"/>
  <c r="AF93" i="17" a="1"/>
  <c r="AF93" i="17" s="1"/>
  <c r="AF91" i="17" a="1"/>
  <c r="AF91" i="17" s="1"/>
  <c r="AB94" i="17" a="1"/>
  <c r="AB94" i="17" s="1"/>
  <c r="V95" i="17" a="1"/>
  <c r="V95" i="17" s="1"/>
  <c r="R93" i="17" a="1"/>
  <c r="R93" i="17" s="1"/>
  <c r="R95" i="17" a="1"/>
  <c r="R95" i="17" s="1"/>
  <c r="K94" i="17" a="1"/>
  <c r="K94" i="17" s="1"/>
  <c r="X94" i="17" a="1"/>
  <c r="X94" i="17" s="1"/>
  <c r="S93" i="17" a="1"/>
  <c r="S93" i="17" s="1"/>
  <c r="V94" i="17" a="1"/>
  <c r="V94" i="17" s="1"/>
  <c r="Y92" i="17" a="1"/>
  <c r="Y92" i="17" s="1"/>
  <c r="AG95" i="17" a="1"/>
  <c r="AG95" i="17" s="1"/>
  <c r="S94" i="17" a="1"/>
  <c r="S94" i="17" s="1"/>
  <c r="Y93" i="17" a="1"/>
  <c r="Y93" i="17" s="1"/>
  <c r="P91" i="17" a="1"/>
  <c r="P91" i="17" s="1"/>
  <c r="AD92" i="17" a="1"/>
  <c r="AD92" i="17" s="1"/>
  <c r="T94" i="17" a="1"/>
  <c r="T94" i="17" s="1"/>
  <c r="AD90" i="17" a="1"/>
  <c r="AD90" i="17" s="1"/>
  <c r="O90" i="17" a="1"/>
  <c r="O90" i="17" s="1"/>
  <c r="K92" i="17" a="1"/>
  <c r="K92" i="17" s="1"/>
  <c r="M93" i="17" a="1"/>
  <c r="M93" i="17" s="1"/>
  <c r="AF92" i="17" a="1"/>
  <c r="AF92" i="17" s="1"/>
  <c r="V91" i="17" a="1"/>
  <c r="V91" i="17" s="1"/>
  <c r="K91" i="17" a="1"/>
  <c r="K91" i="17" s="1"/>
  <c r="M95" i="17" a="1"/>
  <c r="M95" i="17" s="1"/>
  <c r="R92" i="17" a="1"/>
  <c r="R92" i="17" s="1"/>
  <c r="I57" i="19"/>
  <c r="E21" i="5"/>
  <c r="E4" i="6"/>
  <c r="AG93" i="17" a="1"/>
  <c r="AG93" i="17" s="1"/>
  <c r="I30" i="19"/>
  <c r="AC92" i="17" a="1"/>
  <c r="AC92" i="17" s="1"/>
  <c r="U93" i="17" a="1"/>
  <c r="U93" i="17" s="1"/>
  <c r="I48" i="19"/>
  <c r="F58" i="19"/>
  <c r="AD95" i="17" a="1"/>
  <c r="AD95" i="17" s="1"/>
  <c r="X93" i="17" a="1"/>
  <c r="X93" i="17" s="1"/>
  <c r="Q93" i="17" a="1"/>
  <c r="Q93" i="17" s="1"/>
  <c r="N21" i="19"/>
  <c r="K93" i="17" a="1"/>
  <c r="K93" i="17" s="1"/>
  <c r="Z93" i="17" a="1"/>
  <c r="Z93" i="17" s="1"/>
  <c r="N91" i="17" a="1"/>
  <c r="N91" i="17" s="1"/>
  <c r="AF95" i="17" a="1"/>
  <c r="AF95" i="17" s="1"/>
  <c r="AE91" i="17" a="1"/>
  <c r="AE91" i="17" s="1"/>
  <c r="F28" i="19"/>
  <c r="F57" i="19"/>
  <c r="AH11" i="17"/>
  <c r="AH21" i="17" s="1"/>
  <c r="AH20" i="17" s="1"/>
  <c r="AH25" i="17" s="1"/>
  <c r="AH27" i="17" s="1"/>
  <c r="AH58" i="17" s="1"/>
  <c r="AF9" i="16"/>
  <c r="AI9" i="16"/>
  <c r="AE9" i="16"/>
  <c r="AH9" i="16"/>
  <c r="AG9" i="16"/>
  <c r="AJ20" i="16"/>
  <c r="AE20" i="16"/>
  <c r="K11" i="17"/>
  <c r="K21" i="17" s="1"/>
  <c r="K20" i="17" s="1"/>
  <c r="F38" i="11"/>
  <c r="S103" i="11"/>
  <c r="AI20" i="16"/>
  <c r="F35" i="11"/>
  <c r="W35" i="11"/>
  <c r="F71" i="11"/>
  <c r="L26" i="11"/>
  <c r="O24" i="11"/>
  <c r="L38" i="11"/>
  <c r="S73" i="11"/>
  <c r="I34" i="11"/>
  <c r="O63" i="11"/>
  <c r="L85" i="11"/>
  <c r="I30" i="11"/>
  <c r="W79" i="11"/>
  <c r="W38" i="11"/>
  <c r="L60" i="11"/>
  <c r="F84" i="11"/>
  <c r="I23" i="11"/>
  <c r="I26" i="11"/>
  <c r="I94" i="11"/>
  <c r="O90" i="11"/>
  <c r="W94" i="11"/>
  <c r="F70" i="11"/>
  <c r="L56" i="11"/>
  <c r="O33" i="11"/>
  <c r="W37" i="11"/>
  <c r="F28" i="11"/>
  <c r="L33" i="11"/>
  <c r="S77" i="11"/>
  <c r="I11" i="11"/>
  <c r="F88" i="11"/>
  <c r="O102" i="11"/>
  <c r="L39" i="11"/>
  <c r="I29" i="11"/>
  <c r="I68" i="11"/>
  <c r="I10" i="11"/>
  <c r="F23" i="11"/>
  <c r="F86" i="11"/>
  <c r="F110" i="11"/>
  <c r="F68" i="11"/>
  <c r="W47" i="11"/>
  <c r="I106" i="11"/>
  <c r="L112" i="11"/>
  <c r="AJ4" i="16"/>
  <c r="AH4" i="16"/>
  <c r="AE4" i="16"/>
  <c r="AF10" i="16"/>
  <c r="AH6" i="16"/>
  <c r="AJ21" i="16"/>
  <c r="AG26" i="16"/>
  <c r="AI26" i="16"/>
  <c r="AH26" i="16"/>
  <c r="O27" i="11"/>
  <c r="I60" i="11"/>
  <c r="F80" i="11"/>
  <c r="W62" i="11"/>
  <c r="O74" i="11"/>
  <c r="W63" i="11"/>
  <c r="F62" i="11"/>
  <c r="I65" i="11"/>
  <c r="F109" i="11"/>
  <c r="S50" i="11"/>
  <c r="I103" i="11"/>
  <c r="I88" i="11"/>
  <c r="L34" i="11"/>
  <c r="O86" i="11"/>
  <c r="F26" i="11"/>
  <c r="O91" i="11"/>
  <c r="L91" i="11"/>
  <c r="O73" i="11"/>
  <c r="O82" i="11"/>
  <c r="W84" i="11"/>
  <c r="W88" i="11"/>
  <c r="L100" i="11"/>
  <c r="AJ10" i="16"/>
  <c r="AG6" i="16"/>
  <c r="AB11" i="17"/>
  <c r="AB21" i="17" s="1"/>
  <c r="AB20" i="17" s="1"/>
  <c r="AB25" i="17" s="1"/>
  <c r="AB27" i="17" s="1"/>
  <c r="AB58" i="17" s="1"/>
  <c r="K118" i="17"/>
  <c r="K119" i="17" s="1"/>
  <c r="AE11" i="17"/>
  <c r="AE21" i="17" s="1"/>
  <c r="AE20" i="17" s="1"/>
  <c r="AE25" i="17" s="1"/>
  <c r="AE27" i="17" s="1"/>
  <c r="AE58" i="17" s="1"/>
  <c r="AD11" i="17"/>
  <c r="AD21" i="17" s="1"/>
  <c r="AD20" i="17" s="1"/>
  <c r="AD25" i="17" s="1"/>
  <c r="AD27" i="17" s="1"/>
  <c r="AD58" i="17" s="1"/>
  <c r="Z11" i="17"/>
  <c r="Z21" i="17" s="1"/>
  <c r="Z20" i="17" s="1"/>
  <c r="Z25" i="17" s="1"/>
  <c r="Z27" i="17" s="1"/>
  <c r="Z58" i="17" s="1"/>
  <c r="Q11" i="17"/>
  <c r="Q21" i="17" s="1"/>
  <c r="Q20" i="17" s="1"/>
  <c r="Q25" i="17" s="1"/>
  <c r="Q27" i="17" s="1"/>
  <c r="Q58" i="17" s="1"/>
  <c r="AF11" i="17"/>
  <c r="AF21" i="17" s="1"/>
  <c r="AF20" i="17" s="1"/>
  <c r="AF25" i="17" s="1"/>
  <c r="AF27" i="17" s="1"/>
  <c r="AF58" i="17" s="1"/>
  <c r="N11" i="17"/>
  <c r="N21" i="17" s="1"/>
  <c r="N20" i="17" s="1"/>
  <c r="N25" i="17" s="1"/>
  <c r="N27" i="17" s="1"/>
  <c r="N58" i="17" s="1"/>
  <c r="X11" i="17"/>
  <c r="X21" i="17" s="1"/>
  <c r="X20" i="17" s="1"/>
  <c r="X25" i="17" s="1"/>
  <c r="X27" i="17" s="1"/>
  <c r="X58" i="17" s="1"/>
  <c r="U11" i="17"/>
  <c r="U21" i="17" s="1"/>
  <c r="U20" i="17" s="1"/>
  <c r="U25" i="17" s="1"/>
  <c r="U27" i="17" s="1"/>
  <c r="U58" i="17" s="1"/>
  <c r="R11" i="17"/>
  <c r="R21" i="17" s="1"/>
  <c r="R20" i="17" s="1"/>
  <c r="R25" i="17" s="1"/>
  <c r="R27" i="17" s="1"/>
  <c r="R58" i="17" s="1"/>
  <c r="M11" i="17"/>
  <c r="M21" i="17" s="1"/>
  <c r="M20" i="17" s="1"/>
  <c r="M25" i="17" s="1"/>
  <c r="M27" i="17" s="1"/>
  <c r="M58" i="17" s="1"/>
  <c r="T11" i="17"/>
  <c r="T21" i="17" s="1"/>
  <c r="T20" i="17" s="1"/>
  <c r="T25" i="17" s="1"/>
  <c r="T27" i="17" s="1"/>
  <c r="T58" i="17" s="1"/>
  <c r="W11" i="17"/>
  <c r="W21" i="17" s="1"/>
  <c r="W20" i="17" s="1"/>
  <c r="L11" i="17"/>
  <c r="L21" i="17" s="1"/>
  <c r="L20" i="17" s="1"/>
  <c r="L25" i="17" s="1"/>
  <c r="L27" i="17" s="1"/>
  <c r="L58" i="17" s="1"/>
  <c r="S11" i="17"/>
  <c r="S21" i="17" s="1"/>
  <c r="S20" i="17" s="1"/>
  <c r="S25" i="17" s="1"/>
  <c r="S27" i="17" s="1"/>
  <c r="S58" i="17" s="1"/>
  <c r="Y11" i="17"/>
  <c r="Y21" i="17" s="1"/>
  <c r="Y20" i="17" s="1"/>
  <c r="Y25" i="17" s="1"/>
  <c r="Y27" i="17" s="1"/>
  <c r="Y58" i="17" s="1"/>
  <c r="O11" i="17"/>
  <c r="O21" i="17" s="1"/>
  <c r="O20" i="17" s="1"/>
  <c r="O25" i="17" s="1"/>
  <c r="O27" i="17" s="1"/>
  <c r="O58" i="17" s="1"/>
  <c r="AA11" i="17"/>
  <c r="AA21" i="17" s="1"/>
  <c r="AA20" i="17" s="1"/>
  <c r="AA25" i="17" s="1"/>
  <c r="AA27" i="17" s="1"/>
  <c r="AA58" i="17" s="1"/>
  <c r="AC118" i="17"/>
  <c r="AC119" i="17" s="1"/>
  <c r="T118" i="17"/>
  <c r="T119" i="17" s="1"/>
  <c r="AD118" i="17"/>
  <c r="AD119" i="17" s="1"/>
  <c r="AG118" i="17"/>
  <c r="AG119" i="17" s="1"/>
  <c r="P11" i="17"/>
  <c r="P21" i="17" s="1"/>
  <c r="P20" i="17" s="1"/>
  <c r="P25" i="17" s="1"/>
  <c r="P27" i="17" s="1"/>
  <c r="P58" i="17" s="1"/>
  <c r="L118" i="17"/>
  <c r="L119" i="17" s="1"/>
  <c r="V11" i="17"/>
  <c r="V21" i="17" s="1"/>
  <c r="V20" i="17" s="1"/>
  <c r="V25" i="17" s="1"/>
  <c r="V27" i="17" s="1"/>
  <c r="V58" i="17" s="1"/>
  <c r="S118" i="17"/>
  <c r="S119" i="17" s="1"/>
  <c r="AE28" i="16"/>
  <c r="AH28" i="16"/>
  <c r="AE25" i="16"/>
  <c r="AJ25" i="16"/>
  <c r="AI25" i="16"/>
  <c r="AG25" i="16"/>
  <c r="AH25" i="16"/>
  <c r="AF17" i="16"/>
  <c r="AE17" i="16"/>
  <c r="AH17" i="16"/>
  <c r="F82" i="11"/>
  <c r="S88" i="11"/>
  <c r="W25" i="11"/>
  <c r="W109" i="11"/>
  <c r="AG17" i="16"/>
  <c r="O14" i="11"/>
  <c r="I21" i="11"/>
  <c r="S14" i="11"/>
  <c r="I14" i="11"/>
  <c r="W98" i="11"/>
  <c r="O68" i="11"/>
  <c r="O40" i="11"/>
  <c r="S55" i="11"/>
  <c r="I87" i="11"/>
  <c r="F10" i="11"/>
  <c r="O18" i="11"/>
  <c r="W110" i="11"/>
  <c r="W75" i="11"/>
  <c r="W12" i="11"/>
  <c r="S24" i="11"/>
  <c r="S102" i="11"/>
  <c r="L18" i="11"/>
  <c r="L75" i="11"/>
  <c r="L66" i="11"/>
  <c r="O92" i="11"/>
  <c r="L94" i="11"/>
  <c r="I48" i="11"/>
  <c r="F16" i="11"/>
  <c r="W34" i="11"/>
  <c r="I97" i="11"/>
  <c r="F97" i="11"/>
  <c r="I80" i="11"/>
  <c r="S76" i="11"/>
  <c r="W32" i="11"/>
  <c r="O70" i="11"/>
  <c r="I102" i="11"/>
  <c r="I73" i="11"/>
  <c r="L30" i="11"/>
  <c r="W66" i="11"/>
  <c r="L109" i="11"/>
  <c r="W16" i="11"/>
  <c r="W107" i="11"/>
  <c r="F29" i="11"/>
  <c r="L110" i="11"/>
  <c r="F34" i="11"/>
  <c r="I59" i="11"/>
  <c r="F32" i="11"/>
  <c r="S106" i="11"/>
  <c r="L107" i="11"/>
  <c r="L36" i="11"/>
  <c r="I54" i="11"/>
  <c r="I32" i="11"/>
  <c r="L54" i="11"/>
  <c r="S26" i="11"/>
  <c r="O62" i="11"/>
  <c r="W57" i="11"/>
  <c r="I64" i="11"/>
  <c r="O87" i="11"/>
  <c r="L32" i="11"/>
  <c r="W29" i="11"/>
  <c r="I38" i="11"/>
  <c r="W59" i="11"/>
  <c r="L21" i="11"/>
  <c r="W14" i="11"/>
  <c r="AG10" i="16"/>
  <c r="AJ6" i="16"/>
  <c r="AI17" i="16"/>
  <c r="AF22" i="16"/>
  <c r="AH22" i="16"/>
  <c r="AJ29" i="16"/>
  <c r="AG30" i="16"/>
  <c r="AE30" i="16"/>
  <c r="AH30" i="16"/>
  <c r="AI23" i="16"/>
  <c r="AF23" i="16"/>
  <c r="AJ7" i="16"/>
  <c r="AI7" i="16"/>
  <c r="AJ19" i="16"/>
  <c r="L50" i="11" l="1"/>
  <c r="O50" i="11"/>
  <c r="O19" i="11"/>
  <c r="F50" i="11"/>
  <c r="F19" i="11"/>
  <c r="I39" i="18"/>
  <c r="J37" i="18"/>
  <c r="I41" i="18"/>
  <c r="S19" i="11"/>
  <c r="G64" i="25"/>
  <c r="H64" i="25" s="1"/>
  <c r="I64" i="25" s="1"/>
  <c r="J64" i="25" s="1"/>
  <c r="F66" i="25"/>
  <c r="G66" i="25" s="1"/>
  <c r="H66" i="25" s="1"/>
  <c r="I66" i="25" s="1"/>
  <c r="J66" i="25" s="1"/>
  <c r="L19" i="11"/>
  <c r="I19" i="11"/>
  <c r="W21" i="18"/>
  <c r="W19" i="18"/>
  <c r="W17" i="18"/>
  <c r="W18" i="18"/>
  <c r="W20" i="18"/>
  <c r="W23" i="18"/>
  <c r="W16" i="18"/>
  <c r="Y25" i="18"/>
  <c r="X12" i="18"/>
  <c r="X14" i="18" s="1"/>
  <c r="AE31" i="16"/>
  <c r="AF31" i="16"/>
  <c r="AH31" i="16"/>
  <c r="F22" i="17" s="1"/>
  <c r="AG31" i="16"/>
  <c r="Q21" i="20"/>
  <c r="H99" i="19"/>
  <c r="I99" i="19" s="1"/>
  <c r="AJ31" i="16"/>
  <c r="AI31" i="16"/>
  <c r="N31" i="16" s="1"/>
  <c r="I50" i="11"/>
  <c r="P99" i="17"/>
  <c r="AH99" i="17"/>
  <c r="AF99" i="17"/>
  <c r="U99" i="17"/>
  <c r="AA99" i="17"/>
  <c r="AA112" i="17"/>
  <c r="AA113" i="17" s="1"/>
  <c r="AD112" i="17"/>
  <c r="AD113" i="17" s="1"/>
  <c r="S99" i="17"/>
  <c r="O112" i="17"/>
  <c r="O113" i="17" s="1"/>
  <c r="AE112" i="17"/>
  <c r="AE113" i="17" s="1"/>
  <c r="Z99" i="17"/>
  <c r="Y99" i="17"/>
  <c r="S112" i="17"/>
  <c r="S113" i="17" s="1"/>
  <c r="W58" i="11"/>
  <c r="V60" i="11"/>
  <c r="E99" i="19"/>
  <c r="L99" i="17"/>
  <c r="AF112" i="17"/>
  <c r="AF113" i="17" s="1"/>
  <c r="Q112" i="17"/>
  <c r="Q113" i="17" s="1"/>
  <c r="AB112" i="17"/>
  <c r="AB113" i="17" s="1"/>
  <c r="K25" i="17"/>
  <c r="K27" i="17" s="1"/>
  <c r="K58" i="17" s="1"/>
  <c r="E14" i="19"/>
  <c r="H78" i="19" a="1"/>
  <c r="H78" i="19" s="1"/>
  <c r="H73" i="19" a="1"/>
  <c r="H73" i="19" s="1"/>
  <c r="H77" i="19" a="1"/>
  <c r="H77" i="19" s="1"/>
  <c r="H76" i="19" a="1"/>
  <c r="H76" i="19" s="1"/>
  <c r="H75" i="19" a="1"/>
  <c r="H75" i="19" s="1"/>
  <c r="H79" i="19" a="1"/>
  <c r="H79" i="19" s="1"/>
  <c r="W99" i="17"/>
  <c r="H80" i="19" a="1"/>
  <c r="H80" i="19" s="1"/>
  <c r="H74" i="19" a="1"/>
  <c r="H74" i="19" s="1"/>
  <c r="L112" i="17"/>
  <c r="L113" i="17" s="1"/>
  <c r="V112" i="17"/>
  <c r="V113" i="17" s="1"/>
  <c r="AC99" i="17"/>
  <c r="T112" i="17"/>
  <c r="T113" i="17" s="1"/>
  <c r="O99" i="17"/>
  <c r="AB99" i="17"/>
  <c r="X99" i="17"/>
  <c r="M112" i="17"/>
  <c r="M113" i="17" s="1"/>
  <c r="AD99" i="17"/>
  <c r="V99" i="17"/>
  <c r="N99" i="17"/>
  <c r="M51" i="19"/>
  <c r="C9" i="4"/>
  <c r="C10" i="4" s="1"/>
  <c r="Q99" i="17"/>
  <c r="W25" i="17"/>
  <c r="W27" i="17" s="1"/>
  <c r="W58" i="17" s="1"/>
  <c r="H14" i="19"/>
  <c r="R112" i="17"/>
  <c r="R113" i="17" s="1"/>
  <c r="E83" i="19"/>
  <c r="R99" i="17"/>
  <c r="F21" i="5"/>
  <c r="G21" i="5" s="1"/>
  <c r="H21" i="5" s="1"/>
  <c r="I21" i="5" s="1"/>
  <c r="J21" i="5" s="1"/>
  <c r="K21" i="5" s="1"/>
  <c r="L21" i="5" s="1"/>
  <c r="M21" i="5" s="1"/>
  <c r="N21" i="5" s="1"/>
  <c r="O21" i="5" s="1"/>
  <c r="P21" i="5" s="1"/>
  <c r="Z112" i="17"/>
  <c r="Z113" i="17" s="1"/>
  <c r="Y112" i="17"/>
  <c r="Y113" i="17" s="1"/>
  <c r="U112" i="17"/>
  <c r="U113" i="17" s="1"/>
  <c r="H83" i="19"/>
  <c r="E76" i="19" a="1"/>
  <c r="E76" i="19" s="1"/>
  <c r="F76" i="19" s="1"/>
  <c r="K99" i="17"/>
  <c r="E80" i="19" a="1"/>
  <c r="E80" i="19" s="1"/>
  <c r="F80" i="19" s="1"/>
  <c r="E77" i="19" a="1"/>
  <c r="E77" i="19" s="1"/>
  <c r="F77" i="19" s="1"/>
  <c r="E79" i="19" a="1"/>
  <c r="E79" i="19" s="1"/>
  <c r="F79" i="19" s="1"/>
  <c r="E75" i="19" a="1"/>
  <c r="E75" i="19" s="1"/>
  <c r="F75" i="19" s="1"/>
  <c r="E74" i="19" a="1"/>
  <c r="E74" i="19" s="1"/>
  <c r="F74" i="19" s="1"/>
  <c r="E78" i="19" a="1"/>
  <c r="E78" i="19" s="1"/>
  <c r="F78" i="19" s="1"/>
  <c r="E73" i="19" a="1"/>
  <c r="E73" i="19" s="1"/>
  <c r="AG99" i="17"/>
  <c r="M99" i="17"/>
  <c r="P112" i="17"/>
  <c r="P113" i="17" s="1"/>
  <c r="X112" i="17"/>
  <c r="X113" i="17" s="1"/>
  <c r="N112" i="17"/>
  <c r="N113" i="17" s="1"/>
  <c r="AH112" i="17"/>
  <c r="AH113" i="17" s="1"/>
  <c r="E6" i="5"/>
  <c r="E6" i="20"/>
  <c r="T99" i="17"/>
  <c r="AE99" i="17"/>
  <c r="Q21" i="5" l="1"/>
  <c r="M99" i="19"/>
  <c r="N99" i="19" s="1"/>
  <c r="J39" i="18"/>
  <c r="K37" i="18"/>
  <c r="J41" i="18"/>
  <c r="H100" i="19"/>
  <c r="I100" i="19" s="1"/>
  <c r="X21" i="18"/>
  <c r="X19" i="18"/>
  <c r="X17" i="18"/>
  <c r="X18" i="18"/>
  <c r="X20" i="18"/>
  <c r="X23" i="18"/>
  <c r="X16" i="18"/>
  <c r="Y12" i="18"/>
  <c r="Y14" i="18" s="1"/>
  <c r="Z25" i="18"/>
  <c r="AA31" i="16"/>
  <c r="V18" i="11"/>
  <c r="W18" i="11" s="1"/>
  <c r="G31" i="16"/>
  <c r="E85" i="19"/>
  <c r="F85" i="19" s="1"/>
  <c r="I14" i="19"/>
  <c r="I19" i="19" s="1"/>
  <c r="H15" i="19"/>
  <c r="M83" i="19"/>
  <c r="I83" i="19"/>
  <c r="W112" i="17"/>
  <c r="W113" i="17" s="1"/>
  <c r="H92" i="19" s="1"/>
  <c r="F83" i="19"/>
  <c r="M74" i="19"/>
  <c r="N74" i="19" s="1"/>
  <c r="I74" i="19"/>
  <c r="W60" i="11"/>
  <c r="I76" i="19"/>
  <c r="M76" i="19"/>
  <c r="N76" i="19" s="1"/>
  <c r="F99" i="19"/>
  <c r="E100" i="19"/>
  <c r="F100" i="19" s="1"/>
  <c r="I79" i="19"/>
  <c r="M79" i="19"/>
  <c r="N79" i="19" s="1"/>
  <c r="E81" i="19"/>
  <c r="F81" i="19" s="1"/>
  <c r="F73" i="19"/>
  <c r="I75" i="19"/>
  <c r="M75" i="19"/>
  <c r="N75" i="19" s="1"/>
  <c r="M80" i="19"/>
  <c r="N80" i="19" s="1"/>
  <c r="I80" i="19"/>
  <c r="N51" i="19"/>
  <c r="M53" i="19"/>
  <c r="H85" i="19"/>
  <c r="F6" i="20"/>
  <c r="E39" i="20"/>
  <c r="K85" i="17"/>
  <c r="W85" i="17"/>
  <c r="E39" i="5"/>
  <c r="F6" i="5"/>
  <c r="N22" i="17"/>
  <c r="L22" i="17"/>
  <c r="R22" i="17"/>
  <c r="V22" i="17"/>
  <c r="AE22" i="17"/>
  <c r="O22" i="17"/>
  <c r="U22" i="17"/>
  <c r="AA22" i="17"/>
  <c r="M22" i="17"/>
  <c r="T22" i="17"/>
  <c r="Y22" i="17"/>
  <c r="AD22" i="17"/>
  <c r="AH22" i="17"/>
  <c r="K22" i="17"/>
  <c r="X22" i="17"/>
  <c r="Q22" i="17"/>
  <c r="AF22" i="17"/>
  <c r="AB22" i="17"/>
  <c r="AG22" i="17"/>
  <c r="W22" i="17"/>
  <c r="P22" i="17"/>
  <c r="Z22" i="17"/>
  <c r="S22" i="17"/>
  <c r="AC22" i="17"/>
  <c r="M77" i="19"/>
  <c r="N77" i="19" s="1"/>
  <c r="I77" i="19"/>
  <c r="H81" i="19"/>
  <c r="I81" i="19" s="1"/>
  <c r="I73" i="19"/>
  <c r="M73" i="19"/>
  <c r="I78" i="19"/>
  <c r="M78" i="19"/>
  <c r="N78" i="19" s="1"/>
  <c r="E15" i="19"/>
  <c r="F14" i="19"/>
  <c r="F19" i="19" s="1"/>
  <c r="K112" i="17"/>
  <c r="K113" i="17" s="1"/>
  <c r="E92" i="19" s="1"/>
  <c r="M100" i="19" l="1"/>
  <c r="N100" i="19" s="1"/>
  <c r="E88" i="19"/>
  <c r="F88" i="19" s="1"/>
  <c r="U18" i="11"/>
  <c r="V19" i="11"/>
  <c r="K41" i="18"/>
  <c r="K39" i="18"/>
  <c r="L37" i="18"/>
  <c r="Y21" i="18"/>
  <c r="Y19" i="18"/>
  <c r="Y17" i="18"/>
  <c r="Y18" i="18"/>
  <c r="Y20" i="18"/>
  <c r="Y23" i="18"/>
  <c r="Y16" i="18"/>
  <c r="Z12" i="18"/>
  <c r="Z14" i="18" s="1"/>
  <c r="AA25" i="18"/>
  <c r="E16" i="19"/>
  <c r="F39" i="20"/>
  <c r="L85" i="17"/>
  <c r="L88" i="17" s="1"/>
  <c r="X85" i="17"/>
  <c r="X88" i="17" s="1"/>
  <c r="G6" i="20"/>
  <c r="W19" i="11"/>
  <c r="V21" i="11"/>
  <c r="M81" i="19"/>
  <c r="N81" i="19" s="1"/>
  <c r="N73" i="19"/>
  <c r="K88" i="17"/>
  <c r="W88" i="17"/>
  <c r="M85" i="19"/>
  <c r="N85" i="19" s="1"/>
  <c r="I85" i="19"/>
  <c r="N53" i="19"/>
  <c r="H93" i="19"/>
  <c r="I92" i="19"/>
  <c r="H88" i="19"/>
  <c r="I88" i="19" s="1"/>
  <c r="H16" i="19"/>
  <c r="N83" i="19"/>
  <c r="F92" i="19"/>
  <c r="E93" i="19"/>
  <c r="F39" i="5"/>
  <c r="G6" i="5"/>
  <c r="L41" i="18" l="1"/>
  <c r="L39" i="18"/>
  <c r="M37" i="18"/>
  <c r="AA12" i="18"/>
  <c r="AA14" i="18" s="1"/>
  <c r="AB25" i="18"/>
  <c r="Z20" i="18"/>
  <c r="Z17" i="18"/>
  <c r="Z19" i="18"/>
  <c r="Z23" i="18"/>
  <c r="Z21" i="18"/>
  <c r="Z18" i="18"/>
  <c r="Z16" i="18"/>
  <c r="M88" i="19"/>
  <c r="N88" i="19" s="1"/>
  <c r="W121" i="17"/>
  <c r="W110" i="17"/>
  <c r="F93" i="19"/>
  <c r="I16" i="19"/>
  <c r="H19" i="19"/>
  <c r="H21" i="19" s="1"/>
  <c r="W21" i="11"/>
  <c r="V50" i="11"/>
  <c r="X110" i="17"/>
  <c r="X121" i="17"/>
  <c r="L121" i="17"/>
  <c r="L110" i="17"/>
  <c r="H6" i="5"/>
  <c r="G39" i="5"/>
  <c r="K121" i="17"/>
  <c r="K110" i="17"/>
  <c r="I93" i="19"/>
  <c r="H6" i="20"/>
  <c r="Y85" i="17"/>
  <c r="G39" i="20"/>
  <c r="M85" i="17"/>
  <c r="E19" i="19"/>
  <c r="E21" i="19" s="1"/>
  <c r="F16" i="19"/>
  <c r="N37" i="18" l="1"/>
  <c r="M39" i="18"/>
  <c r="M41" i="18"/>
  <c r="AC25" i="18"/>
  <c r="AB12" i="18"/>
  <c r="AB14" i="18" s="1"/>
  <c r="AA20" i="18"/>
  <c r="AA18" i="18"/>
  <c r="AA17" i="18"/>
  <c r="AA19" i="18"/>
  <c r="AA23" i="18"/>
  <c r="AA21" i="18"/>
  <c r="AA16" i="18"/>
  <c r="E44" i="19"/>
  <c r="F21" i="19"/>
  <c r="F44" i="19" s="1"/>
  <c r="Z85" i="17"/>
  <c r="I6" i="5"/>
  <c r="N85" i="17"/>
  <c r="N88" i="17" s="1"/>
  <c r="H39" i="5"/>
  <c r="M88" i="17"/>
  <c r="W50" i="11"/>
  <c r="V102" i="11"/>
  <c r="V103" i="11" s="1"/>
  <c r="H39" i="20"/>
  <c r="I6" i="20"/>
  <c r="Y88" i="17"/>
  <c r="H44" i="19"/>
  <c r="I21" i="19"/>
  <c r="I44" i="19" s="1"/>
  <c r="L122" i="17"/>
  <c r="L124" i="17"/>
  <c r="X122" i="17"/>
  <c r="X124" i="17"/>
  <c r="K122" i="17"/>
  <c r="K124" i="17"/>
  <c r="W122" i="17"/>
  <c r="W124" i="17"/>
  <c r="N39" i="18" l="1"/>
  <c r="O37" i="18"/>
  <c r="N41" i="18"/>
  <c r="AB20" i="18"/>
  <c r="AB18" i="18"/>
  <c r="AB19" i="18"/>
  <c r="AB23" i="18"/>
  <c r="AB21" i="18"/>
  <c r="AB17" i="18"/>
  <c r="AB16" i="18"/>
  <c r="AD25" i="18"/>
  <c r="AC12" i="18"/>
  <c r="AC14" i="18" s="1"/>
  <c r="J6" i="20"/>
  <c r="I39" i="20"/>
  <c r="M110" i="17"/>
  <c r="M121" i="17"/>
  <c r="N110" i="17"/>
  <c r="N121" i="17"/>
  <c r="Y121" i="17"/>
  <c r="Y110" i="17"/>
  <c r="W103" i="11"/>
  <c r="V104" i="11"/>
  <c r="O85" i="17"/>
  <c r="O88" i="17" s="1"/>
  <c r="AA85" i="17"/>
  <c r="I39" i="5"/>
  <c r="J6" i="5"/>
  <c r="Z88" i="17"/>
  <c r="H94" i="19"/>
  <c r="E94" i="19"/>
  <c r="P37" i="18" l="1"/>
  <c r="O41" i="18"/>
  <c r="O39" i="18"/>
  <c r="AC20" i="18"/>
  <c r="AC18" i="18"/>
  <c r="AC23" i="18"/>
  <c r="AC19" i="18"/>
  <c r="AC21" i="18"/>
  <c r="AC17" i="18"/>
  <c r="AC16" i="18"/>
  <c r="AD12" i="18"/>
  <c r="AD14" i="18" s="1"/>
  <c r="AE25" i="18"/>
  <c r="O121" i="17"/>
  <c r="O110" i="17"/>
  <c r="Y122" i="17"/>
  <c r="Y124" i="17"/>
  <c r="M122" i="17"/>
  <c r="M124" i="17"/>
  <c r="AA88" i="17"/>
  <c r="N122" i="17"/>
  <c r="N124" i="17"/>
  <c r="Z110" i="17"/>
  <c r="Z121" i="17"/>
  <c r="AB85" i="17"/>
  <c r="AB88" i="17" s="1"/>
  <c r="K6" i="5"/>
  <c r="P85" i="17"/>
  <c r="P88" i="17" s="1"/>
  <c r="J39" i="5"/>
  <c r="J39" i="20"/>
  <c r="K6" i="20"/>
  <c r="P41" i="18" l="1"/>
  <c r="Q37" i="18"/>
  <c r="P39" i="18"/>
  <c r="AE12" i="18"/>
  <c r="AE14" i="18" s="1"/>
  <c r="AF25" i="18"/>
  <c r="AD23" i="18"/>
  <c r="AD20" i="18"/>
  <c r="AD19" i="18"/>
  <c r="AD21" i="18"/>
  <c r="AD18" i="18"/>
  <c r="AD17" i="18"/>
  <c r="AD16" i="18"/>
  <c r="L6" i="20"/>
  <c r="K39" i="20"/>
  <c r="AA121" i="17"/>
  <c r="AA110" i="17"/>
  <c r="K39" i="5"/>
  <c r="AC85" i="17"/>
  <c r="L6" i="5"/>
  <c r="Q85" i="17"/>
  <c r="Q88" i="17" s="1"/>
  <c r="AB110" i="17"/>
  <c r="AB121" i="17"/>
  <c r="O122" i="17"/>
  <c r="O124" i="17"/>
  <c r="P110" i="17"/>
  <c r="P121" i="17"/>
  <c r="Z122" i="17"/>
  <c r="Z124" i="17"/>
  <c r="Q39" i="18" l="1"/>
  <c r="Q41" i="18"/>
  <c r="R37" i="18"/>
  <c r="AF12" i="18"/>
  <c r="AF14" i="18" s="1"/>
  <c r="AG25" i="18"/>
  <c r="AE20" i="18"/>
  <c r="AE18" i="18"/>
  <c r="AE23" i="18"/>
  <c r="AE19" i="18"/>
  <c r="AE21" i="18"/>
  <c r="AE17" i="18"/>
  <c r="AE16" i="18"/>
  <c r="P122" i="17"/>
  <c r="P124" i="17"/>
  <c r="AB122" i="17"/>
  <c r="AB124" i="17"/>
  <c r="Q121" i="17"/>
  <c r="Q110" i="17"/>
  <c r="M6" i="5"/>
  <c r="L39" i="5"/>
  <c r="AD85" i="17"/>
  <c r="AD88" i="17" s="1"/>
  <c r="R85" i="17"/>
  <c r="R88" i="17" s="1"/>
  <c r="AC88" i="17"/>
  <c r="AA122" i="17"/>
  <c r="AA124" i="17"/>
  <c r="L39" i="20"/>
  <c r="M6" i="20"/>
  <c r="R39" i="18" l="1"/>
  <c r="R41" i="18"/>
  <c r="S37" i="18"/>
  <c r="AG12" i="18"/>
  <c r="AG14" i="18" s="1"/>
  <c r="AH25" i="18"/>
  <c r="AF20" i="18"/>
  <c r="AF18" i="18"/>
  <c r="AF23" i="18"/>
  <c r="AF21" i="18"/>
  <c r="AF17" i="18"/>
  <c r="AF19" i="18"/>
  <c r="AF16" i="18"/>
  <c r="AD121" i="17"/>
  <c r="AD110" i="17"/>
  <c r="R121" i="17"/>
  <c r="R110" i="17"/>
  <c r="M39" i="5"/>
  <c r="AE85" i="17"/>
  <c r="AE88" i="17" s="1"/>
  <c r="S85" i="17"/>
  <c r="S88" i="17" s="1"/>
  <c r="N6" i="5"/>
  <c r="N6" i="20"/>
  <c r="M39" i="20"/>
  <c r="AC121" i="17"/>
  <c r="AC110" i="17"/>
  <c r="Q122" i="17"/>
  <c r="Q124" i="17"/>
  <c r="T37" i="18" l="1"/>
  <c r="S41" i="18"/>
  <c r="S39" i="18"/>
  <c r="AI25" i="18"/>
  <c r="AH12" i="18"/>
  <c r="AH14" i="18" s="1"/>
  <c r="N39" i="20"/>
  <c r="O6" i="20"/>
  <c r="T85" i="17"/>
  <c r="T88" i="17" s="1"/>
  <c r="O6" i="5"/>
  <c r="AF85" i="17"/>
  <c r="AF88" i="17" s="1"/>
  <c r="N39" i="5"/>
  <c r="S110" i="17"/>
  <c r="S121" i="17"/>
  <c r="AE110" i="17"/>
  <c r="AE121" i="17"/>
  <c r="AC122" i="17"/>
  <c r="AC124" i="17"/>
  <c r="R122" i="17"/>
  <c r="R124" i="17"/>
  <c r="AD122" i="17"/>
  <c r="AD124" i="17"/>
  <c r="T39" i="18" l="1"/>
  <c r="T41" i="18"/>
  <c r="U37" i="18"/>
  <c r="AJ25" i="18"/>
  <c r="AI12" i="18"/>
  <c r="AI14" i="18" s="1"/>
  <c r="S122" i="17"/>
  <c r="S124" i="17"/>
  <c r="U85" i="17"/>
  <c r="U88" i="17" s="1"/>
  <c r="P6" i="5"/>
  <c r="O39" i="5"/>
  <c r="AG85" i="17"/>
  <c r="AG88" i="17" s="1"/>
  <c r="T110" i="17"/>
  <c r="T121" i="17"/>
  <c r="AF121" i="17"/>
  <c r="AF110" i="17"/>
  <c r="O39" i="20"/>
  <c r="P6" i="20"/>
  <c r="AE122" i="17"/>
  <c r="AE124" i="17"/>
  <c r="U41" i="18" l="1"/>
  <c r="V37" i="18"/>
  <c r="U39" i="18"/>
  <c r="AK25" i="18"/>
  <c r="AJ12" i="18"/>
  <c r="AJ14" i="18" s="1"/>
  <c r="AF122" i="17"/>
  <c r="AF124" i="17"/>
  <c r="U110" i="17"/>
  <c r="U121" i="17"/>
  <c r="AG110" i="17"/>
  <c r="AG121" i="17"/>
  <c r="P39" i="20"/>
  <c r="Q6" i="20"/>
  <c r="Q39" i="20" s="1"/>
  <c r="Q41" i="20" s="1"/>
  <c r="T122" i="17"/>
  <c r="T124" i="17"/>
  <c r="AH85" i="17"/>
  <c r="P39" i="5"/>
  <c r="V85" i="17"/>
  <c r="Q6" i="5"/>
  <c r="F80" i="25" s="1"/>
  <c r="W37" i="18" l="1"/>
  <c r="V41" i="18"/>
  <c r="V39" i="18"/>
  <c r="G80" i="25"/>
  <c r="F83" i="25"/>
  <c r="F106" i="25" s="1"/>
  <c r="F118" i="25" s="1"/>
  <c r="AK12" i="18"/>
  <c r="AK14" i="18" s="1"/>
  <c r="AL25" i="18"/>
  <c r="V88" i="17"/>
  <c r="E69" i="19" a="1"/>
  <c r="E69" i="19" s="1"/>
  <c r="F69" i="19" s="1"/>
  <c r="E66" i="19" a="1"/>
  <c r="E66" i="19" s="1"/>
  <c r="E70" i="19" a="1"/>
  <c r="E70" i="19" s="1"/>
  <c r="F70" i="19" s="1"/>
  <c r="E68" i="19" a="1"/>
  <c r="E68" i="19" s="1"/>
  <c r="F68" i="19" s="1"/>
  <c r="E67" i="19" a="1"/>
  <c r="E67" i="19" s="1"/>
  <c r="F67" i="19" s="1"/>
  <c r="V74" i="11"/>
  <c r="Q39" i="5"/>
  <c r="Q41" i="5" s="1"/>
  <c r="M66" i="19"/>
  <c r="AH88" i="17"/>
  <c r="H66" i="19" a="1"/>
  <c r="H66" i="19" s="1"/>
  <c r="H70" i="19" a="1"/>
  <c r="H70" i="19" s="1"/>
  <c r="I70" i="19" s="1"/>
  <c r="H68" i="19" a="1"/>
  <c r="H68" i="19" s="1"/>
  <c r="I68" i="19" s="1"/>
  <c r="H69" i="19" a="1"/>
  <c r="H69" i="19" s="1"/>
  <c r="I69" i="19" s="1"/>
  <c r="H67" i="19" a="1"/>
  <c r="H67" i="19" s="1"/>
  <c r="I67" i="19" s="1"/>
  <c r="U122" i="17"/>
  <c r="U124" i="17"/>
  <c r="AG122" i="17"/>
  <c r="AG124" i="17"/>
  <c r="F119" i="25" l="1"/>
  <c r="F121" i="25"/>
  <c r="H80" i="25"/>
  <c r="G83" i="25"/>
  <c r="G106" i="25" s="1"/>
  <c r="G118" i="25" s="1"/>
  <c r="W39" i="18"/>
  <c r="W41" i="18"/>
  <c r="X37" i="18"/>
  <c r="AM25" i="18"/>
  <c r="AL12" i="18"/>
  <c r="AL14" i="18" s="1"/>
  <c r="H71" i="19"/>
  <c r="I66" i="19"/>
  <c r="AH110" i="17"/>
  <c r="AH121" i="17"/>
  <c r="M71" i="19"/>
  <c r="N66" i="19"/>
  <c r="F66" i="19"/>
  <c r="E71" i="19"/>
  <c r="V77" i="11"/>
  <c r="W74" i="11"/>
  <c r="V121" i="17"/>
  <c r="V110" i="17"/>
  <c r="X41" i="18" l="1"/>
  <c r="X39" i="18"/>
  <c r="Y37" i="18"/>
  <c r="G119" i="25"/>
  <c r="G121" i="25"/>
  <c r="I80" i="25"/>
  <c r="H83" i="25"/>
  <c r="H106" i="25" s="1"/>
  <c r="H118" i="25" s="1"/>
  <c r="AN25" i="18"/>
  <c r="AM12" i="18"/>
  <c r="AM14" i="18" s="1"/>
  <c r="N71" i="19"/>
  <c r="M102" i="19"/>
  <c r="M90" i="19"/>
  <c r="N90" i="19" s="1"/>
  <c r="W77" i="11"/>
  <c r="V112" i="11"/>
  <c r="V100" i="11"/>
  <c r="W100" i="11" s="1"/>
  <c r="AH122" i="17"/>
  <c r="AH124" i="17"/>
  <c r="V122" i="17"/>
  <c r="V124" i="17"/>
  <c r="E90" i="19"/>
  <c r="F90" i="19" s="1"/>
  <c r="F71" i="19"/>
  <c r="E102" i="19"/>
  <c r="H90" i="19"/>
  <c r="I90" i="19" s="1"/>
  <c r="H102" i="19"/>
  <c r="I71" i="19"/>
  <c r="H119" i="25" l="1"/>
  <c r="H121" i="25"/>
  <c r="J80" i="25"/>
  <c r="J83" i="25" s="1"/>
  <c r="J106" i="25" s="1"/>
  <c r="J118" i="25" s="1"/>
  <c r="I83" i="25"/>
  <c r="I106" i="25" s="1"/>
  <c r="I118" i="25" s="1"/>
  <c r="Y39" i="18"/>
  <c r="Z37" i="18"/>
  <c r="Y41" i="18"/>
  <c r="AO25" i="18"/>
  <c r="AN12" i="18"/>
  <c r="AN14" i="18" s="1"/>
  <c r="V113" i="11"/>
  <c r="W112" i="11"/>
  <c r="V115" i="11"/>
  <c r="W115" i="11" s="1"/>
  <c r="E103" i="19"/>
  <c r="F102" i="19"/>
  <c r="E105" i="19"/>
  <c r="F105" i="19" s="1"/>
  <c r="M103" i="19"/>
  <c r="M105" i="19"/>
  <c r="N105" i="19" s="1"/>
  <c r="N102" i="19"/>
  <c r="I102" i="19"/>
  <c r="H103" i="19"/>
  <c r="H105" i="19"/>
  <c r="I105" i="19" s="1"/>
  <c r="AA37" i="18" l="1"/>
  <c r="Z41" i="18"/>
  <c r="Z39" i="18"/>
  <c r="I119" i="25"/>
  <c r="I121" i="25"/>
  <c r="J119" i="25"/>
  <c r="J121" i="25"/>
  <c r="AO12" i="18"/>
  <c r="AO14" i="18" s="1"/>
  <c r="AP25" i="18"/>
  <c r="AB37" i="18" l="1"/>
  <c r="AA41" i="18"/>
  <c r="AA39" i="18"/>
  <c r="AP12" i="18"/>
  <c r="AP14" i="18" s="1"/>
  <c r="AQ25" i="18"/>
  <c r="AB41" i="18" l="1"/>
  <c r="AC37" i="18"/>
  <c r="AB39" i="18"/>
  <c r="AQ12" i="18"/>
  <c r="AQ14" i="18" s="1"/>
  <c r="AR25" i="18"/>
  <c r="AC41" i="18" l="1"/>
  <c r="AD37" i="18"/>
  <c r="AC39" i="18"/>
  <c r="AS25" i="18"/>
  <c r="AR12" i="18"/>
  <c r="AR14" i="18" s="1"/>
  <c r="AE37" i="18" l="1"/>
  <c r="AD39" i="18"/>
  <c r="AD41" i="18"/>
  <c r="AT25" i="18"/>
  <c r="AS12" i="18"/>
  <c r="AS14" i="18" s="1"/>
  <c r="AF37" i="18" l="1"/>
  <c r="AE41" i="18"/>
  <c r="AE39" i="18"/>
  <c r="AU25" i="18"/>
  <c r="AT12" i="18"/>
  <c r="AT14" i="18" s="1"/>
  <c r="AF41" i="18" l="1"/>
  <c r="AF39" i="18"/>
  <c r="AV25" i="18"/>
  <c r="AU12" i="18"/>
  <c r="AU14" i="18" s="1"/>
  <c r="AW25" i="18" l="1"/>
  <c r="AV12" i="18"/>
  <c r="AV14" i="18" s="1"/>
  <c r="AX25" i="18" l="1"/>
  <c r="AW12" i="18"/>
  <c r="AW14" i="18" s="1"/>
  <c r="AY25" i="18" l="1"/>
  <c r="AX12" i="18"/>
  <c r="AX14" i="18" s="1"/>
  <c r="AZ25" i="18" l="1"/>
  <c r="AZ12" i="18" s="1"/>
  <c r="AZ14" i="18" s="1"/>
  <c r="AY12" i="18"/>
  <c r="AY14" i="1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<sst xmlns="http://schemas.openxmlformats.org/spreadsheetml/2006/main" count="1217" uniqueCount="514">
  <si>
    <t>EXPENSES</t>
  </si>
  <si>
    <t>REVENUE</t>
  </si>
  <si>
    <t>Line Item</t>
  </si>
  <si>
    <t>Notes</t>
  </si>
  <si>
    <t>Sub Notes</t>
  </si>
  <si>
    <t>Date of Financials</t>
  </si>
  <si>
    <t xml:space="preserve">      Rental Income</t>
  </si>
  <si>
    <t xml:space="preserve">        Gross Potential Rent</t>
  </si>
  <si>
    <t xml:space="preserve">        Loss/Gain to Lease</t>
  </si>
  <si>
    <t xml:space="preserve">        Less:Concessions-Mthly</t>
  </si>
  <si>
    <t xml:space="preserve">        Less:Concessions-One Time</t>
  </si>
  <si>
    <t xml:space="preserve">        Less:  Vacancy</t>
  </si>
  <si>
    <t xml:space="preserve">        Less:  Write-Offs</t>
  </si>
  <si>
    <t xml:space="preserve">        Less:Rent-Uncollected</t>
  </si>
  <si>
    <t xml:space="preserve">        Less:Employee Rent Concession</t>
  </si>
  <si>
    <t xml:space="preserve">        Garage Rent</t>
  </si>
  <si>
    <t xml:space="preserve">        Storage Rent</t>
  </si>
  <si>
    <t xml:space="preserve">        Pet Rent</t>
  </si>
  <si>
    <t>Total</t>
  </si>
  <si>
    <t>Check</t>
  </si>
  <si>
    <t xml:space="preserve">  UTILITY INCOME</t>
  </si>
  <si>
    <t xml:space="preserve">        Utility Income</t>
  </si>
  <si>
    <t xml:space="preserve">        Electric Income</t>
  </si>
  <si>
    <t xml:space="preserve">        Water Income</t>
  </si>
  <si>
    <t xml:space="preserve">        Drainage Income</t>
  </si>
  <si>
    <t xml:space="preserve">        Valet Trash Income</t>
  </si>
  <si>
    <t xml:space="preserve">        Trash Income</t>
  </si>
  <si>
    <t xml:space="preserve">        Pest Control Income</t>
  </si>
  <si>
    <t xml:space="preserve">        Utility Billing Fee</t>
  </si>
  <si>
    <t xml:space="preserve">        TOTAL UTILITY INCOME</t>
  </si>
  <si>
    <t xml:space="preserve">  OTHER INCOME</t>
  </si>
  <si>
    <t xml:space="preserve">        MTM Rent</t>
  </si>
  <si>
    <t xml:space="preserve">        Re-let Fee / Broken Lease</t>
  </si>
  <si>
    <t xml:space="preserve">        Untransferred Utilities Fee</t>
  </si>
  <si>
    <t xml:space="preserve">        Less:Write Off Bad Debt</t>
  </si>
  <si>
    <t xml:space="preserve">        Former Resident Collections</t>
  </si>
  <si>
    <t xml:space="preserve">        Lease Administrative Fee</t>
  </si>
  <si>
    <t xml:space="preserve">        Pet Fees</t>
  </si>
  <si>
    <t xml:space="preserve">        Cable Commission</t>
  </si>
  <si>
    <t xml:space="preserve">        Cleaning Income</t>
  </si>
  <si>
    <t xml:space="preserve">        Maint &amp; Repairs Income</t>
  </si>
  <si>
    <t xml:space="preserve">        Key / Lock Change Income</t>
  </si>
  <si>
    <t xml:space="preserve">        Late Fee Income</t>
  </si>
  <si>
    <t xml:space="preserve">        NSF Fee Income</t>
  </si>
  <si>
    <t xml:space="preserve">        Application Fee Income</t>
  </si>
  <si>
    <t xml:space="preserve">        Interest Income</t>
  </si>
  <si>
    <t xml:space="preserve">        Renter's Insurance</t>
  </si>
  <si>
    <t xml:space="preserve">        Other Income</t>
  </si>
  <si>
    <t xml:space="preserve">        RP Deposit Premium</t>
  </si>
  <si>
    <t xml:space="preserve">        Clubhouse Rental</t>
  </si>
  <si>
    <t xml:space="preserve">        TOTAL OTHER INCOME</t>
  </si>
  <si>
    <t>GPR</t>
  </si>
  <si>
    <t>Concessions</t>
  </si>
  <si>
    <t>Storage</t>
  </si>
  <si>
    <t>Pet</t>
  </si>
  <si>
    <t>Vacancy</t>
  </si>
  <si>
    <t>Bad Debt</t>
  </si>
  <si>
    <t>Parking</t>
  </si>
  <si>
    <t>UTIL Reimb.</t>
  </si>
  <si>
    <t>Misc</t>
  </si>
  <si>
    <t>Trash</t>
  </si>
  <si>
    <t>Pest</t>
  </si>
  <si>
    <t>Other Income</t>
  </si>
  <si>
    <t>Cleaning/R&amp;M</t>
  </si>
  <si>
    <t>Revenue Line Items</t>
  </si>
  <si>
    <t>Expense Line Items</t>
  </si>
  <si>
    <t>$</t>
  </si>
  <si>
    <t>$/Unit</t>
  </si>
  <si>
    <t>T-3 Trends</t>
  </si>
  <si>
    <t>T-6 Trends</t>
  </si>
  <si>
    <t>T-12 Trends</t>
  </si>
  <si>
    <t>T-1 Trends</t>
  </si>
  <si>
    <t>T-9 Trends</t>
  </si>
  <si>
    <t>Total Other Income</t>
  </si>
  <si>
    <t>Units</t>
  </si>
  <si>
    <t xml:space="preserve">Trailing - 12 </t>
  </si>
  <si>
    <t>Expenses</t>
  </si>
  <si>
    <t xml:space="preserve">  PAYROLL</t>
  </si>
  <si>
    <t xml:space="preserve">        Manager Salaries</t>
  </si>
  <si>
    <t xml:space="preserve">        Maintenance Salaries</t>
  </si>
  <si>
    <t xml:space="preserve">        Payroll - Administrative Mgmt</t>
  </si>
  <si>
    <t xml:space="preserve">        Emp Leasing/Renewal Bonuses</t>
  </si>
  <si>
    <t xml:space="preserve">        401K Match</t>
  </si>
  <si>
    <t xml:space="preserve">        Health Insurance</t>
  </si>
  <si>
    <t xml:space="preserve">        Worker's Compensation</t>
  </si>
  <si>
    <t xml:space="preserve">        Office Overtime</t>
  </si>
  <si>
    <t xml:space="preserve">        Maintenance Overtime</t>
  </si>
  <si>
    <t xml:space="preserve">        Payroll Taxes</t>
  </si>
  <si>
    <t xml:space="preserve">  GENERAL &amp; ADMINISTRATIVE</t>
  </si>
  <si>
    <t xml:space="preserve">        Equipment Rental</t>
  </si>
  <si>
    <t xml:space="preserve">        Office Supplies</t>
  </si>
  <si>
    <t xml:space="preserve">        TAA Lease Forms/Membership</t>
  </si>
  <si>
    <t xml:space="preserve">        Computer Svc. / Supplies</t>
  </si>
  <si>
    <t xml:space="preserve">        Postage &amp; Delivery</t>
  </si>
  <si>
    <t xml:space="preserve">        Telephone</t>
  </si>
  <si>
    <t xml:space="preserve">        Other Administrative Expenses</t>
  </si>
  <si>
    <t xml:space="preserve">        Meals &amp; Entertainment</t>
  </si>
  <si>
    <t xml:space="preserve">        Bank Charges</t>
  </si>
  <si>
    <t xml:space="preserve">        Filing Fees</t>
  </si>
  <si>
    <t xml:space="preserve">        Fees &amp; Permits</t>
  </si>
  <si>
    <t xml:space="preserve">        Credit Check Fees</t>
  </si>
  <si>
    <t xml:space="preserve">        Renter's Protection Coverage</t>
  </si>
  <si>
    <t xml:space="preserve">        Training Expenses</t>
  </si>
  <si>
    <t xml:space="preserve">        Answering Service</t>
  </si>
  <si>
    <t xml:space="preserve">        Music/TV/Video Licensing</t>
  </si>
  <si>
    <t xml:space="preserve">  MARKETING</t>
  </si>
  <si>
    <t xml:space="preserve">        Locator Fees</t>
  </si>
  <si>
    <t xml:space="preserve">        Marketing</t>
  </si>
  <si>
    <t xml:space="preserve">        Resident Referral Fees</t>
  </si>
  <si>
    <t xml:space="preserve">        Resident Retention</t>
  </si>
  <si>
    <t xml:space="preserve">        Signage</t>
  </si>
  <si>
    <t xml:space="preserve">        Internet Advertising</t>
  </si>
  <si>
    <t xml:space="preserve">  REPAIRS &amp; MAINTENANCE</t>
  </si>
  <si>
    <t xml:space="preserve">        R&amp;M - Electrical</t>
  </si>
  <si>
    <t xml:space="preserve">        R&amp;M - HVAC</t>
  </si>
  <si>
    <t xml:space="preserve">        R&amp;M - Plumbing</t>
  </si>
  <si>
    <t xml:space="preserve">        R&amp;M - Appliances</t>
  </si>
  <si>
    <t xml:space="preserve">        R&amp;M - Exterior</t>
  </si>
  <si>
    <t xml:space="preserve">        R&amp;M - Commercial CAM</t>
  </si>
  <si>
    <t xml:space="preserve">        R&amp;M - Pool</t>
  </si>
  <si>
    <t xml:space="preserve">        R&amp;M - Miscellaneous</t>
  </si>
  <si>
    <t xml:space="preserve">        R&amp;M - Elevator</t>
  </si>
  <si>
    <t xml:space="preserve">        Door and Window Costs</t>
  </si>
  <si>
    <t xml:space="preserve">        Pest Control</t>
  </si>
  <si>
    <t xml:space="preserve">        Misc Supplies &amp; Hardware</t>
  </si>
  <si>
    <t xml:space="preserve">        Fencing/Gates</t>
  </si>
  <si>
    <t xml:space="preserve">        Lighting/Fixtures</t>
  </si>
  <si>
    <t xml:space="preserve">        Carpet/Vinyl Repair</t>
  </si>
  <si>
    <t xml:space="preserve">        Carpet Cleaning</t>
  </si>
  <si>
    <t xml:space="preserve">        Keys &amp; Locks</t>
  </si>
  <si>
    <t xml:space="preserve">        Uniforms</t>
  </si>
  <si>
    <t xml:space="preserve">        Other Operations Expense</t>
  </si>
  <si>
    <t xml:space="preserve">        Security</t>
  </si>
  <si>
    <t xml:space="preserve">        Garage Repairs &amp; Maintenance</t>
  </si>
  <si>
    <t xml:space="preserve">        Fire Alarm Contract</t>
  </si>
  <si>
    <t xml:space="preserve">        Fire Protection / Life Safety Contract</t>
  </si>
  <si>
    <t xml:space="preserve">        Landscape Contract</t>
  </si>
  <si>
    <t xml:space="preserve">        Carpet Cleaning - Turn Costs</t>
  </si>
  <si>
    <t xml:space="preserve">        Painting/Wallpaper - Turn Costs</t>
  </si>
  <si>
    <t xml:space="preserve">        Contract Cleaning - Turn Cost</t>
  </si>
  <si>
    <t xml:space="preserve">  UTILITIES</t>
  </si>
  <si>
    <t xml:space="preserve">        Electricity</t>
  </si>
  <si>
    <t xml:space="preserve">        Elect-Vacant Units</t>
  </si>
  <si>
    <t xml:space="preserve">        Water &amp; Wastewater</t>
  </si>
  <si>
    <t xml:space="preserve">        Trash Collection</t>
  </si>
  <si>
    <t xml:space="preserve">        Valet Trash Collection</t>
  </si>
  <si>
    <t xml:space="preserve">        Natural Gas</t>
  </si>
  <si>
    <t xml:space="preserve">        Cable/Internet</t>
  </si>
  <si>
    <t xml:space="preserve">        Utility Billing Fees</t>
  </si>
  <si>
    <t xml:space="preserve">  MANAGEMENT FEES</t>
  </si>
  <si>
    <t xml:space="preserve">        Management Fees</t>
  </si>
  <si>
    <t xml:space="preserve">  TAXES</t>
  </si>
  <si>
    <t xml:space="preserve">        Property Taxes</t>
  </si>
  <si>
    <t xml:space="preserve">        Tax Consultant</t>
  </si>
  <si>
    <t xml:space="preserve">  INSURANCE</t>
  </si>
  <si>
    <t xml:space="preserve">        Insurance</t>
  </si>
  <si>
    <t>Payroll</t>
  </si>
  <si>
    <t>Maintenance Salaries</t>
  </si>
  <si>
    <t>Property Manager</t>
  </si>
  <si>
    <t>Miscellaneous Payroll</t>
  </si>
  <si>
    <t>Leasing Bonus</t>
  </si>
  <si>
    <t>G&amp;A</t>
  </si>
  <si>
    <t>Supplies</t>
  </si>
  <si>
    <t>Memberships</t>
  </si>
  <si>
    <t>Telephone</t>
  </si>
  <si>
    <t>Miscellaneous G&amp;A</t>
  </si>
  <si>
    <t>Marketing</t>
  </si>
  <si>
    <t>Locator Fees</t>
  </si>
  <si>
    <t>Resident Retention</t>
  </si>
  <si>
    <t>Referral Fees</t>
  </si>
  <si>
    <t>R&amp;M</t>
  </si>
  <si>
    <t>Miscellaneous</t>
  </si>
  <si>
    <t>Contract Services</t>
  </si>
  <si>
    <t>Electricity</t>
  </si>
  <si>
    <t>Water</t>
  </si>
  <si>
    <t>Gas</t>
  </si>
  <si>
    <t>Internet</t>
  </si>
  <si>
    <t>Utility Fees</t>
  </si>
  <si>
    <t xml:space="preserve">MGMT </t>
  </si>
  <si>
    <t>Taxes</t>
  </si>
  <si>
    <t>Insurance</t>
  </si>
  <si>
    <t xml:space="preserve">Salary - Maintenance </t>
  </si>
  <si>
    <t>Payroll - Miscellaneous</t>
  </si>
  <si>
    <t>G&amp;A - Miscellaneous</t>
  </si>
  <si>
    <t xml:space="preserve">    Total Payroll</t>
  </si>
  <si>
    <t xml:space="preserve">    Total G&amp;A</t>
  </si>
  <si>
    <t xml:space="preserve">    Total Marketing</t>
  </si>
  <si>
    <t xml:space="preserve">    Total R&amp;M</t>
  </si>
  <si>
    <t xml:space="preserve">    Total Utilities</t>
  </si>
  <si>
    <t xml:space="preserve">    Management Fee</t>
  </si>
  <si>
    <t xml:space="preserve">    Total Taxes</t>
  </si>
  <si>
    <t xml:space="preserve">    Total Insurance</t>
  </si>
  <si>
    <t>Total Operating Expenses</t>
  </si>
  <si>
    <t>Net Operating Income</t>
  </si>
  <si>
    <t>Management Fee</t>
  </si>
  <si>
    <t>OpEX %</t>
  </si>
  <si>
    <t>Morgan Underwriting</t>
  </si>
  <si>
    <t>Underwriting Notes</t>
  </si>
  <si>
    <t xml:space="preserve">    Economic Vacancy</t>
  </si>
  <si>
    <t xml:space="preserve">Proposed Payroll Schedule </t>
  </si>
  <si>
    <t>Position</t>
  </si>
  <si>
    <t>FT/PT (Hrs)</t>
  </si>
  <si>
    <t>Salary</t>
  </si>
  <si>
    <t>Hourly Rate</t>
  </si>
  <si>
    <t>Bonus Potential</t>
  </si>
  <si>
    <t>Payroll Prior to Burden</t>
  </si>
  <si>
    <t>Burden</t>
  </si>
  <si>
    <t>Community Manager</t>
  </si>
  <si>
    <t>Assistant Manager</t>
  </si>
  <si>
    <t>Service Supervisor</t>
  </si>
  <si>
    <t>Service Technician</t>
  </si>
  <si>
    <t>Average New Lease/Renewal Bonus:</t>
  </si>
  <si>
    <t>TOTAL PAYROLL</t>
  </si>
  <si>
    <t>Per Unit</t>
  </si>
  <si>
    <t xml:space="preserve">    Management Fee (%)</t>
  </si>
  <si>
    <t>Gross Potential Rent</t>
  </si>
  <si>
    <t>Total Rental Income</t>
  </si>
  <si>
    <t>Effective Gross Income</t>
  </si>
  <si>
    <t>Owner Budget</t>
  </si>
  <si>
    <t>Leasing Professional</t>
  </si>
  <si>
    <t>Ann. Trailing - 6</t>
  </si>
  <si>
    <t>Ann. Trailing - 3</t>
  </si>
  <si>
    <t xml:space="preserve">Ann. Trailing - 1 </t>
  </si>
  <si>
    <t>Market Rent</t>
  </si>
  <si>
    <t>Loss to Lease</t>
  </si>
  <si>
    <t>Landscaping</t>
  </si>
  <si>
    <t>Model/Employee Discount</t>
  </si>
  <si>
    <t>Commercial Income</t>
  </si>
  <si>
    <t>Porter</t>
  </si>
  <si>
    <t>Payroll - Burden</t>
  </si>
  <si>
    <t>Contract Services - Valet</t>
  </si>
  <si>
    <t>Contract Services - Concierge</t>
  </si>
  <si>
    <t>XXXXXXXXX</t>
  </si>
  <si>
    <t>End of list</t>
  </si>
  <si>
    <t>Valet Income</t>
  </si>
  <si>
    <t>Property Name</t>
  </si>
  <si>
    <t>Resident Service Fee</t>
  </si>
  <si>
    <t>x</t>
  </si>
  <si>
    <t>Make-Ready/Redec</t>
  </si>
  <si>
    <t>Administrative Fees</t>
  </si>
  <si>
    <t xml:space="preserve">    Vacancy (%)</t>
  </si>
  <si>
    <t>NSF Fees</t>
  </si>
  <si>
    <t>Legal Reimbursement</t>
  </si>
  <si>
    <t>Damages/Eviction Fees</t>
  </si>
  <si>
    <t>Late Charges</t>
  </si>
  <si>
    <t>MTM Fees</t>
  </si>
  <si>
    <t>Application Fees</t>
  </si>
  <si>
    <t>HVAC Contract</t>
  </si>
  <si>
    <t>Service</t>
  </si>
  <si>
    <t>Geofence Campaign</t>
  </si>
  <si>
    <t>Digital Direct Mail</t>
  </si>
  <si>
    <t>Apartment Ratings (annual rate) $100 set up + $350/mo</t>
  </si>
  <si>
    <t>Virtual Tours Monthly Hosting Fee</t>
  </si>
  <si>
    <t>Kingsley Reputation</t>
  </si>
  <si>
    <t>RentGrata</t>
  </si>
  <si>
    <t>Comments</t>
  </si>
  <si>
    <t>Locators</t>
  </si>
  <si>
    <t>Make-Ready</t>
  </si>
  <si>
    <t>Total Number of Units</t>
  </si>
  <si>
    <t>Implement?</t>
  </si>
  <si>
    <t>Yes</t>
  </si>
  <si>
    <t>No</t>
  </si>
  <si>
    <t>Level</t>
  </si>
  <si>
    <t>Apts.com</t>
  </si>
  <si>
    <t>Apartments.com</t>
  </si>
  <si>
    <t>Diamond</t>
  </si>
  <si>
    <t>Silver</t>
  </si>
  <si>
    <t>Gold</t>
  </si>
  <si>
    <t>Gold+</t>
  </si>
  <si>
    <t>Silver+</t>
  </si>
  <si>
    <t>Platinum</t>
  </si>
  <si>
    <t>Diamond+</t>
  </si>
  <si>
    <t>Platinum+</t>
  </si>
  <si>
    <t>PPC Spend</t>
  </si>
  <si>
    <t>Geofencing</t>
  </si>
  <si>
    <t>Social Ads</t>
  </si>
  <si>
    <t>Digital Mailers</t>
  </si>
  <si>
    <t>Estimated Leases</t>
  </si>
  <si>
    <t>Monthly Fee</t>
  </si>
  <si>
    <t>Apartment List Cost</t>
  </si>
  <si>
    <t>Zillow Leases</t>
  </si>
  <si>
    <t>Kingsley</t>
  </si>
  <si>
    <t>Surveys</t>
  </si>
  <si>
    <t>Cost/Unit/Month</t>
  </si>
  <si>
    <t>Engrain</t>
  </si>
  <si>
    <t>Set Up Fee</t>
  </si>
  <si>
    <t>Monthly Cost</t>
  </si>
  <si>
    <t>Engrain Asset Intelligence</t>
  </si>
  <si>
    <t>Property Price Level?</t>
  </si>
  <si>
    <t xml:space="preserve">Pay Per Click </t>
  </si>
  <si>
    <t>Engrain Suite</t>
  </si>
  <si>
    <t xml:space="preserve">    Engrain (Site Map)</t>
  </si>
  <si>
    <t xml:space="preserve">    Engrain (Site Map) - One Time Set Up Cost</t>
  </si>
  <si>
    <t xml:space="preserve">    Engrain (Asset Intelligence)</t>
  </si>
  <si>
    <t xml:space="preserve">    Engrain (Asset Intelligence) - One Time Set Up Cost</t>
  </si>
  <si>
    <t>Appliances</t>
  </si>
  <si>
    <t>Code</t>
  </si>
  <si>
    <t>Building</t>
  </si>
  <si>
    <t>Electrical</t>
  </si>
  <si>
    <t>Heating/AC</t>
  </si>
  <si>
    <t>Plumbing</t>
  </si>
  <si>
    <t>Maintenance - Equipment</t>
  </si>
  <si>
    <t>Other Equipment</t>
  </si>
  <si>
    <t>Security Access Gates</t>
  </si>
  <si>
    <t>Fire Alarm Sprinkler</t>
  </si>
  <si>
    <t>Pool</t>
  </si>
  <si>
    <t>Landscaping (Seasonals)</t>
  </si>
  <si>
    <t>Landscape (Mulch)</t>
  </si>
  <si>
    <t>Site Sidewalk</t>
  </si>
  <si>
    <t>Irrigation</t>
  </si>
  <si>
    <t>Other</t>
  </si>
  <si>
    <t>Cleaning Services</t>
  </si>
  <si>
    <t>Landscape Contract</t>
  </si>
  <si>
    <t>Pool Service</t>
  </si>
  <si>
    <t>Life Safety Services</t>
  </si>
  <si>
    <t>Security Patrol</t>
  </si>
  <si>
    <t>Alarm Monitoring</t>
  </si>
  <si>
    <t>Pest Control</t>
  </si>
  <si>
    <t>Trash Removal</t>
  </si>
  <si>
    <t>Boiler Management Services</t>
  </si>
  <si>
    <t>Concierge Services</t>
  </si>
  <si>
    <t>Valet Services</t>
  </si>
  <si>
    <t>Scent Air</t>
  </si>
  <si>
    <t>xx</t>
  </si>
  <si>
    <t>Carpet</t>
  </si>
  <si>
    <t>Tile</t>
  </si>
  <si>
    <t>Hardware - Locks &amp; Keys</t>
  </si>
  <si>
    <t>Cleaning Supplies</t>
  </si>
  <si>
    <t>Contract Painting</t>
  </si>
  <si>
    <t>Paint &amp; Painting Supplies</t>
  </si>
  <si>
    <t>Window Coverings</t>
  </si>
  <si>
    <t>Legal</t>
  </si>
  <si>
    <t>Bank Charges</t>
  </si>
  <si>
    <t>Eviction Charges</t>
  </si>
  <si>
    <t>Credit Processing</t>
  </si>
  <si>
    <t>Eviction Costs</t>
  </si>
  <si>
    <t>Legal Services</t>
  </si>
  <si>
    <t>Delivery Services</t>
  </si>
  <si>
    <t>Apartment Association Fees</t>
  </si>
  <si>
    <t>Licenses and Permits</t>
  </si>
  <si>
    <t>Forms</t>
  </si>
  <si>
    <t>Postage</t>
  </si>
  <si>
    <t>General Office Supplies</t>
  </si>
  <si>
    <t>Office Equipment</t>
  </si>
  <si>
    <t>Leasing/Management Software</t>
  </si>
  <si>
    <t>Computer Software Support</t>
  </si>
  <si>
    <t>Answering Services</t>
  </si>
  <si>
    <t>Telephone Service</t>
  </si>
  <si>
    <t>Cell Phones</t>
  </si>
  <si>
    <t>Internet/Cable</t>
  </si>
  <si>
    <t>Travel Mileage</t>
  </si>
  <si>
    <t>Employee Eduction/Recognition</t>
  </si>
  <si>
    <t>Misc. Fees/Expenses</t>
  </si>
  <si>
    <t>Maintenance Team</t>
  </si>
  <si>
    <t>Property Management Team</t>
  </si>
  <si>
    <t>Total Property Management Cost</t>
  </si>
  <si>
    <t>Total Maintenance Team Cost</t>
  </si>
  <si>
    <t>Leasing Bonuses</t>
  </si>
  <si>
    <t>New Lease/Renewal Percentage Pay-Out:</t>
  </si>
  <si>
    <t>Salary - Property Management</t>
  </si>
  <si>
    <t>Total Leasing Bonus Cost</t>
  </si>
  <si>
    <t>Apartment List</t>
  </si>
  <si>
    <t xml:space="preserve">    Apartment List (Monthly Cost)</t>
  </si>
  <si>
    <t xml:space="preserve">    RentGrata (Monthly Cost)</t>
  </si>
  <si>
    <t>RentGrata Referral</t>
  </si>
  <si>
    <t xml:space="preserve">    Apartment List (estimated leases per month)</t>
  </si>
  <si>
    <t xml:space="preserve">    RentGrata Referral Cost (estimated leases per month)</t>
  </si>
  <si>
    <t>Retail Income - CAM</t>
  </si>
  <si>
    <t>Garage Rent</t>
  </si>
  <si>
    <t>Storage Rent</t>
  </si>
  <si>
    <t>Pet Rent</t>
  </si>
  <si>
    <t>Other Rent</t>
  </si>
  <si>
    <t>Month-to-Month Premium</t>
  </si>
  <si>
    <t>Transfer Fees</t>
  </si>
  <si>
    <t>Pet Fees</t>
  </si>
  <si>
    <t>Utilities Reimbursement - Water</t>
  </si>
  <si>
    <t>Utilities Reimbursement - Electric</t>
  </si>
  <si>
    <t>Utilities Reimbursement - Gas</t>
  </si>
  <si>
    <t>Utilities Reimbursement - Boiler</t>
  </si>
  <si>
    <t>Utilities Reimbursement - Resident</t>
  </si>
  <si>
    <t>Utilities Reimbursement - Pest Control</t>
  </si>
  <si>
    <t>Resident Services Fee/Amenity Fee</t>
  </si>
  <si>
    <t>Utilities Reimbursement - Trash</t>
  </si>
  <si>
    <t>Revenue Share - Telephone</t>
  </si>
  <si>
    <t>Revenue Share - Cable</t>
  </si>
  <si>
    <t>Bad Debt Recovery</t>
  </si>
  <si>
    <t>Damages</t>
  </si>
  <si>
    <t>Eviction Fees</t>
  </si>
  <si>
    <t>Late Fees</t>
  </si>
  <si>
    <t>Termination Fees</t>
  </si>
  <si>
    <t>Other Fees</t>
  </si>
  <si>
    <t>Utility Billing/UPM Fees</t>
  </si>
  <si>
    <t>Electric</t>
  </si>
  <si>
    <t>Electric - Vacant</t>
  </si>
  <si>
    <t xml:space="preserve">Sewer </t>
  </si>
  <si>
    <t>Water-Irrigation</t>
  </si>
  <si>
    <t>Elevator Services</t>
  </si>
  <si>
    <t>Morgan Rental Rate Review</t>
  </si>
  <si>
    <t>Unit Type</t>
  </si>
  <si>
    <t>Bedrooms</t>
  </si>
  <si>
    <t>Unit Count</t>
  </si>
  <si>
    <t>Net SF</t>
  </si>
  <si>
    <t>PPSF</t>
  </si>
  <si>
    <t>Exposure</t>
  </si>
  <si>
    <t>Effective Rent</t>
  </si>
  <si>
    <t>Effective Rent/SF</t>
  </si>
  <si>
    <t>Annual Rent (Market)</t>
  </si>
  <si>
    <t>Current Market Rate</t>
  </si>
  <si>
    <t>Current Market Rate/SF</t>
  </si>
  <si>
    <t>Current Effective Rate</t>
  </si>
  <si>
    <t>Current Effective Rate/SF</t>
  </si>
  <si>
    <t>Current Annual Rent (Market)</t>
  </si>
  <si>
    <t>% of Units</t>
  </si>
  <si>
    <t>Projected Rent/SF</t>
  </si>
  <si>
    <t>Lease-Up Budget (Monthly)</t>
  </si>
  <si>
    <t>Target Occupancy</t>
  </si>
  <si>
    <t>Available Units</t>
  </si>
  <si>
    <t>Min. Units</t>
  </si>
  <si>
    <t>Units Delivered</t>
  </si>
  <si>
    <t>Absorption</t>
  </si>
  <si>
    <t>Pre-Lease End</t>
  </si>
  <si>
    <t>Vacant Units</t>
  </si>
  <si>
    <t>Occupied Units</t>
  </si>
  <si>
    <t>Occupancy</t>
  </si>
  <si>
    <t>Month</t>
  </si>
  <si>
    <t>Pre-Leasing</t>
  </si>
  <si>
    <t>Lease Up</t>
  </si>
  <si>
    <t>Concessions (Monthly/Unit)</t>
  </si>
  <si>
    <t>Utilities (RUBS) Water&amp;Sewer</t>
  </si>
  <si>
    <t>Misc. Contract Services</t>
  </si>
  <si>
    <t>Electricity Common</t>
  </si>
  <si>
    <t>Electricity Vacant</t>
  </si>
  <si>
    <t xml:space="preserve">Gas </t>
  </si>
  <si>
    <t>Total Controllable Expenses</t>
  </si>
  <si>
    <t>Canva</t>
  </si>
  <si>
    <t>Better Bot ($200 set up fee)</t>
  </si>
  <si>
    <t>Retargeting</t>
  </si>
  <si>
    <t>Resident Retention/Prospect Experience</t>
  </si>
  <si>
    <t>Referral fee is $409/lease plus monthly cost of $63.</t>
  </si>
  <si>
    <t>Marketing Support Services</t>
  </si>
  <si>
    <t>Kingsley Surveys</t>
  </si>
  <si>
    <t>Weeks</t>
  </si>
  <si>
    <t>Beginning Occupancy</t>
  </si>
  <si>
    <t>Closing Ratio</t>
  </si>
  <si>
    <t>Retention</t>
  </si>
  <si>
    <t>Lease Expirations</t>
  </si>
  <si>
    <t>Move-Outs</t>
  </si>
  <si>
    <t>Assumed Traffic</t>
  </si>
  <si>
    <t>New Leases</t>
  </si>
  <si>
    <t>Net Leases</t>
  </si>
  <si>
    <t>Anticipated Occupancy</t>
  </si>
  <si>
    <t>Fixed Costs</t>
  </si>
  <si>
    <t>Monthly Absorption</t>
  </si>
  <si>
    <t>Existing Lease Expirations</t>
  </si>
  <si>
    <t>Max Lease Expirations</t>
  </si>
  <si>
    <t>Remaining Lease Expirations</t>
  </si>
  <si>
    <t>Guest Suite Income</t>
  </si>
  <si>
    <t>Termination/Transfer Fees</t>
  </si>
  <si>
    <t>Amenity Fee</t>
  </si>
  <si>
    <t>Tech Package</t>
  </si>
  <si>
    <t>Trash removal and Valet</t>
  </si>
  <si>
    <t>Utility Reimbursement</t>
  </si>
  <si>
    <t>Bonuses</t>
  </si>
  <si>
    <t>Fees</t>
  </si>
  <si>
    <t>Stabilized Underwriting</t>
  </si>
  <si>
    <t>Year 1</t>
  </si>
  <si>
    <t>Year 2</t>
  </si>
  <si>
    <t>Assumes 1 model and 1 employee unit</t>
  </si>
  <si>
    <t>Please see Other Income tab for line-by-line assumptions.</t>
  </si>
  <si>
    <t>Please see Payroll Schedules tabs for additional assumptions.</t>
  </si>
  <si>
    <t>Please see G&amp;A tab for line-by-line assumptions.</t>
  </si>
  <si>
    <t>Please see Marketing tabs for line-by-line assumptions.</t>
  </si>
  <si>
    <t>Please see R&amp;M tab for line-by-line assumptions.</t>
  </si>
  <si>
    <t>Please see Utilities tab for line-by-line assumptions.</t>
  </si>
  <si>
    <t>TBD</t>
  </si>
  <si>
    <t>Client Estimate</t>
  </si>
  <si>
    <t>MGMT</t>
  </si>
  <si>
    <t>Utilities</t>
  </si>
  <si>
    <t>Trash - Reimbursement</t>
  </si>
  <si>
    <t xml:space="preserve">  </t>
  </si>
  <si>
    <t>R&amp;M - Trash</t>
  </si>
  <si>
    <t>R&amp;M - Trash Reimbursement</t>
  </si>
  <si>
    <t>UTIL - Trash</t>
  </si>
  <si>
    <t>UTIL - Trash - Reimbursement</t>
  </si>
  <si>
    <t>T-12</t>
  </si>
  <si>
    <t>Team Bonuses</t>
  </si>
  <si>
    <t>Cable Income</t>
  </si>
  <si>
    <t>Tenant Billback Expense</t>
  </si>
  <si>
    <t>Please see the Marketing Stack - Stabilized tab for details.</t>
  </si>
  <si>
    <t>Please see Payroll Schedule tab for details.</t>
  </si>
  <si>
    <t xml:space="preserve"> Increase/(Decrease) in Market Rent</t>
  </si>
  <si>
    <t xml:space="preserve"> Increase/(Decrease) in Effective Rent</t>
  </si>
  <si>
    <t>Variance</t>
  </si>
  <si>
    <t>Property:</t>
  </si>
  <si>
    <t>Liability Insurance</t>
  </si>
  <si>
    <t>Package Fees</t>
  </si>
  <si>
    <t>Increase (Effective)</t>
  </si>
  <si>
    <t>Rent Growth Assumptions</t>
  </si>
  <si>
    <t>Loss-to-Lease</t>
  </si>
  <si>
    <t>Vacancy Assumption</t>
  </si>
  <si>
    <t>Other Income Growth</t>
  </si>
  <si>
    <t>Expense Growth</t>
  </si>
  <si>
    <t>Year 3</t>
  </si>
  <si>
    <t>Year 4</t>
  </si>
  <si>
    <t>Year 5</t>
  </si>
  <si>
    <t>Held at Morgan standard of 0.50%.</t>
  </si>
  <si>
    <t>Start Date</t>
  </si>
  <si>
    <t>Total Units</t>
  </si>
  <si>
    <t>Retention Ratio (Transition)</t>
  </si>
  <si>
    <t>Retention Ratio during transition is projected at 40%. Renewals go out roughly 60 days prior to lease expiration, thus assuming a July transition, August and September renewals will have been distributed at a minimum. We are assuming a lower than average renewal ratio for this period.</t>
  </si>
  <si>
    <t>Closing ratio of 22% is projected based on our portfolio.</t>
  </si>
  <si>
    <t>Lease Expirations are based on current rent roll. This analysis does not project early terminations.</t>
  </si>
  <si>
    <t>Internet - GA</t>
  </si>
  <si>
    <t>Internet - Utilities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</si>
</sst>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5" formatCode="&quot;$&quot;#,##0_);\(&quot;$&quot;#,##0\)"/>
    <numFmt numFmtId="42" formatCode="_(&quot;$&quot;* #,##0_);_(&quot;$&quot;* \(#,##0\);_(&quot;$&quot;* &quot;-&quot;_);_(@_)"/>
    <numFmt numFmtId="44" formatCode="_(&quot;$&quot;* #,##0.00_);_(&quot;$&quot;* \(#,##0.00\);_(&quot;$&quot;* &quot;-&quot;??_);_(@_)"/>
    <numFmt numFmtId="43" formatCode="_(* #,##0.00_);_(* \(#,##0.00\);_(* &quot;-&quot;??_);_(@_)"/>
    <numFmt numFmtId="164" formatCode="[$-409]mmm\-yy;@"/>
    <numFmt numFmtId="165" formatCode="&quot;$&quot;#,##0"/>
    <numFmt numFmtId="166" formatCode="&quot;$&quot;#,##0.00"/>
    <numFmt numFmtId="167" formatCode="_(&quot;$&quot;* #,##0_);_(&quot;$&quot;* \(#,##0\);_(&quot;$&quot;* &quot;-&quot;??_);_(@_)"/>
    <numFmt numFmtId="168" formatCode="0.0000%"/>
    <numFmt numFmtId="169" formatCode="_(&quot;$&quot;* #,##0.00000_);_(&quot;$&quot;* \(#,##0.00000\);_(&quot;$&quot;* &quot;-&quot;?????_);_(@_)"/>
    <numFmt numFmtId="170" formatCode="[$-409]mmmm\-yy;@"/>
    <numFmt numFmtId="171" formatCode="0.0"/>
    <numFmt numFmtId="172" formatCode="0.0%"/>
    <numFmt numFmtId="173" formatCode="mmm\ yyyy"/>
    <numFmt numFmtId="174" formatCode="mmmm\ yyyy"/>
    <numFmt numFmtId="175" formatCode="mmmm"/>
    <numFmt numFmtId="176" formatCode="#,##0.0"/>
  </numFmts>
  <fonts count="3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sz val="8"/>
      <name val="Aptos Narrow"/>
      <family val="2"/>
      <scheme val="minor"/>
    </font>
    <font>
      <b/>
      <sz val="10"/>
      <color theme="1"/>
      <name val="Aptos Narrow"/>
      <family val="2"/>
      <scheme val="minor"/>
    </font>
    <font>
      <sz val="10"/>
      <color theme="1"/>
      <name val="Aptos Display"/>
      <family val="2"/>
      <scheme val="major"/>
    </font>
    <font>
      <b/>
      <sz val="10"/>
      <color theme="1"/>
      <name val="Aptos Display"/>
      <family val="2"/>
      <scheme val="major"/>
    </font>
    <font>
      <b/>
      <i/>
      <sz val="10"/>
      <color theme="1"/>
      <name val="Aptos Display"/>
      <family val="2"/>
      <scheme val="major"/>
    </font>
    <font>
      <b/>
      <sz val="10"/>
      <color rgb="FF12355B"/>
      <name val="Aptos Display"/>
      <family val="2"/>
      <scheme val="major"/>
    </font>
    <font>
      <b/>
      <sz val="10"/>
      <color theme="0"/>
      <name val="Aptos Display"/>
      <family val="2"/>
      <scheme val="major"/>
    </font>
    <font>
      <sz val="10"/>
      <name val="Aptos Display"/>
      <family val="2"/>
      <scheme val="major"/>
    </font>
    <font>
      <i/>
      <sz val="10"/>
      <color theme="1"/>
      <name val="Aptos Display"/>
      <family val="2"/>
      <scheme val="major"/>
    </font>
    <font>
      <i/>
      <sz val="10"/>
      <color rgb="FF262626"/>
      <name val="Aptos Display"/>
      <family val="2"/>
      <scheme val="major"/>
    </font>
    <font>
      <b/>
      <sz val="10"/>
      <color theme="3"/>
      <name val="Aptos Display"/>
      <family val="2"/>
      <scheme val="major"/>
    </font>
    <font>
      <b/>
      <i/>
      <sz val="10"/>
      <color theme="0"/>
      <name val="Aptos Display"/>
      <family val="2"/>
      <scheme val="major"/>
    </font>
    <font>
      <sz val="10"/>
      <color rgb="FF0000FF"/>
      <name val="Aptos Display"/>
      <family val="2"/>
      <scheme val="major"/>
    </font>
    <font>
      <sz val="10"/>
      <color rgb="FFFFFFFF"/>
      <name val="Aptos Display"/>
      <family val="2"/>
      <scheme val="major"/>
    </font>
    <font>
      <sz val="10"/>
      <color rgb="FF262626"/>
      <name val="Aptos Display"/>
      <family val="2"/>
      <scheme val="major"/>
    </font>
    <font>
      <b/>
      <sz val="10"/>
      <color rgb="FFFFFFFF"/>
      <name val="Aptos Display"/>
      <family val="2"/>
      <scheme val="major"/>
    </font>
    <font>
      <b/>
      <sz val="10"/>
      <color rgb="FFE7E6E6"/>
      <name val="Aptos Display"/>
      <family val="2"/>
      <scheme val="major"/>
    </font>
    <font>
      <sz val="10"/>
      <color theme="0"/>
      <name val="Aptos Display"/>
      <family val="2"/>
      <scheme val="major"/>
    </font>
    <font>
      <b/>
      <sz val="10"/>
      <color rgb="FF262626"/>
      <name val="Aptos Display"/>
      <family val="2"/>
      <scheme val="major"/>
    </font>
    <font>
      <sz val="10"/>
      <color rgb="FF12355B"/>
      <name val="Aptos Display"/>
      <family val="2"/>
      <scheme val="major"/>
    </font>
    <font>
      <b/>
      <sz val="10"/>
      <name val="Aptos Display"/>
      <family val="2"/>
      <scheme val="major"/>
    </font>
    <font>
      <b/>
      <sz val="24"/>
      <color theme="1"/>
      <name val="Aptos Display"/>
      <family val="2"/>
      <scheme val="major"/>
    </font>
    <font>
      <sz val="10"/>
      <color theme="1"/>
      <name val="Aptos Narrow"/>
      <family val="2"/>
      <scheme val="minor"/>
    </font>
    <font>
      <b/>
      <sz val="10"/>
      <color theme="0"/>
      <name val="Aptos Narrow"/>
      <family val="2"/>
      <scheme val="minor"/>
    </font>
    <font>
      <i/>
      <sz val="10"/>
      <color theme="1"/>
      <name val="Aptos Narrow"/>
      <family val="2"/>
      <scheme val="minor"/>
    </font>
    <font>
      <b/>
      <i/>
      <sz val="10"/>
      <color theme="1"/>
      <name val="Aptos Narrow"/>
      <family val="2"/>
      <scheme val="minor"/>
    </font>
    <font>
      <sz val="10"/>
      <name val="Aptos Narrow"/>
      <family val="2"/>
      <scheme val="minor"/>
    </font>
    <font>
      <b/>
      <i/>
      <sz val="10"/>
      <color rgb="FF002060"/>
      <name val="Aptos Display"/>
      <family val="2"/>
      <scheme val="major"/>
    </font>
  </fonts>
  <fills count="30">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3"/>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2044"/>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rgb="FFC1F2FE"/>
      </patternFill>
    </fill>
    <fill>
      <patternFill patternType="solid">
        <fgColor rgb="FF113459"/>
        <bgColor rgb="FF113459"/>
      </patternFill>
    </fill>
    <fill>
      <patternFill patternType="solid">
        <fgColor theme="0"/>
        <bgColor rgb="FFE2F0FD"/>
      </patternFill>
    </fill>
    <fill>
      <patternFill patternType="solid">
        <fgColor theme="0"/>
        <bgColor rgb="FF77DDFE"/>
      </patternFill>
    </fill>
    <fill>
      <patternFill patternType="solid">
        <fgColor theme="2" tint="-9.9978637043366805E-2"/>
        <bgColor indexed="64"/>
      </patternFill>
    </fill>
    <fill>
      <patternFill patternType="solid">
        <fgColor rgb="FF113459"/>
        <bgColor indexed="64"/>
      </patternFill>
    </fill>
    <fill>
      <patternFill patternType="solid">
        <fgColor theme="0"/>
        <bgColor rgb="FF113459"/>
      </patternFill>
    </fill>
    <fill>
      <patternFill patternType="solid">
        <fgColor theme="0" tint="-0.249977111117893"/>
        <bgColor indexed="64"/>
      </patternFill>
    </fill>
    <fill>
      <patternFill patternType="solid">
        <fgColor rgb="FFFFFFCC"/>
        <bgColor rgb="FF77DDFE"/>
      </patternFill>
    </fill>
    <fill>
      <patternFill patternType="solid">
        <fgColor theme="3" tint="0.89999084444715716"/>
        <bgColor indexed="64"/>
      </patternFill>
    </fill>
    <fill>
      <patternFill patternType="solid">
        <fgColor rgb="FF00263E"/>
        <bgColor indexed="64"/>
      </patternFill>
    </fill>
    <fill>
      <patternFill patternType="solid">
        <fgColor theme="2" tint="-0.499984740745262"/>
        <bgColor indexed="64"/>
      </patternFill>
    </fill>
    <fill>
      <patternFill patternType="solid">
        <fgColor theme="2"/>
        <bgColor indexed="64"/>
      </patternFill>
    </fill>
    <fill>
      <patternFill patternType="solid">
        <fgColor rgb="FFFFFFCC"/>
        <bgColor rgb="FFE2F0FD"/>
      </patternFill>
    </fill>
    <fill>
      <patternFill patternType="solid">
        <fgColor theme="0" tint="-0.249977111117893"/>
        <bgColor rgb="FF113459"/>
      </patternFill>
    </fill>
    <fill>
      <patternFill patternType="solid">
        <fgColor theme="0" tint="-0.249977111117893"/>
        <bgColor rgb="FFE2F0FD"/>
      </patternFill>
    </fill>
    <fill>
      <patternFill patternType="solid">
        <fgColor rgb="FFFFFFCC"/>
        <bgColor rgb="FF79DDFF"/>
      </patternFill>
    </fill>
    <fill>
      <patternFill patternType="solid">
        <fgColor rgb="FFFFFFCC"/>
        <bgColor rgb="FFFFFF00"/>
      </patternFill>
    </fill>
    <fill>
      <patternFill patternType="solid">
        <fgColor rgb="FF002044"/>
        <bgColor rgb="FF113459"/>
      </patternFill>
    </fill>
    <fill>
      <patternFill patternType="solid">
        <fgColor theme="1" tint="0.499984740745262"/>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n">
        <color indexed="64"/>
      </top>
      <bottom/>
      <diagonal/>
    </border>
    <border>
      <left/>
      <right style="thick">
        <color indexed="64"/>
      </right>
      <top style="thin">
        <color indexed="64"/>
      </top>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right style="thin">
        <color indexed="64"/>
      </right>
      <top style="thin">
        <color indexed="64"/>
      </top>
      <bottom style="thick">
        <color indexed="64"/>
      </bottom>
      <diagonal/>
    </border>
    <border>
      <left/>
      <right/>
      <top style="thin">
        <color indexed="64"/>
      </top>
      <bottom style="thick">
        <color indexed="64"/>
      </bottom>
      <diagonal/>
    </border>
    <border>
      <left style="thin">
        <color indexed="64"/>
      </left>
      <right/>
      <top style="thin">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ck">
        <color indexed="64"/>
      </right>
      <top/>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bottom style="thick">
        <color indexed="64"/>
      </bottom>
      <diagonal/>
    </border>
    <border>
      <left style="thin">
        <color indexed="64"/>
      </left>
      <right style="thick">
        <color indexed="64"/>
      </right>
      <top/>
      <bottom style="thin">
        <color indexed="64"/>
      </bottom>
      <diagonal/>
    </border>
    <border>
      <left style="thick">
        <color indexed="64"/>
      </left>
      <right style="thin">
        <color indexed="64"/>
      </right>
      <top/>
      <bottom/>
      <diagonal/>
    </border>
    <border>
      <left style="thin">
        <color indexed="64"/>
      </left>
      <right style="thick">
        <color indexed="64"/>
      </right>
      <top/>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top/>
      <bottom style="thick">
        <color indexed="64"/>
      </bottom>
      <diagonal/>
    </border>
    <border>
      <left style="thin">
        <color indexed="64"/>
      </left>
      <right style="thick">
        <color indexed="64"/>
      </right>
      <top style="thin">
        <color indexed="64"/>
      </top>
      <bottom/>
      <diagonal/>
    </border>
    <border>
      <left style="thin">
        <color indexed="64"/>
      </left>
      <right/>
      <top style="thick">
        <color indexed="64"/>
      </top>
      <bottom/>
      <diagonal/>
    </border>
    <border>
      <left style="thin">
        <color indexed="64"/>
      </left>
      <right/>
      <top/>
      <bottom style="thick">
        <color indexed="64"/>
      </bottom>
      <diagonal/>
    </border>
    <border>
      <left/>
      <right/>
      <top/>
      <bottom style="thick">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indexed="64"/>
      </top>
      <bottom style="thin">
        <color indexed="64"/>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thick">
        <color indexed="64"/>
      </bottom>
      <diagonal/>
    </border>
    <border>
      <left/>
      <right style="thick">
        <color indexed="64"/>
      </right>
      <top style="thin">
        <color indexed="64"/>
      </top>
      <bottom style="thick">
        <color indexed="64"/>
      </bottom>
      <diagonal/>
    </border>
    <border>
      <left style="thin">
        <color indexed="64"/>
      </left>
      <right style="thin">
        <color indexed="64"/>
      </right>
      <top/>
      <bottom style="thick">
        <color indexed="64"/>
      </bottom>
      <diagonal/>
    </border>
    <border>
      <left style="dashed">
        <color indexed="64"/>
      </left>
      <right style="dashed">
        <color indexed="64"/>
      </right>
      <top style="dashed">
        <color indexed="64"/>
      </top>
      <bottom/>
      <diagonal/>
    </border>
    <border>
      <left style="dashed">
        <color indexed="64"/>
      </left>
      <right style="dashed">
        <color indexed="64"/>
      </right>
      <top/>
      <bottom/>
      <diagonal/>
    </border>
    <border>
      <left/>
      <right/>
      <top/>
      <bottom style="dashed">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style="dashed">
        <color indexed="64"/>
      </right>
      <top style="thin">
        <color indexed="64"/>
      </top>
      <bottom/>
      <diagonal/>
    </border>
    <border>
      <left style="dashed">
        <color indexed="64"/>
      </left>
      <right/>
      <top/>
      <bottom style="thin">
        <color indexed="64"/>
      </bottom>
      <diagonal/>
    </border>
    <border>
      <left/>
      <right style="dashed">
        <color indexed="64"/>
      </right>
      <top/>
      <bottom style="thin">
        <color indexed="64"/>
      </bottom>
      <diagonal/>
    </border>
    <border>
      <left style="dashed">
        <color indexed="64"/>
      </left>
      <right style="dashed">
        <color indexed="64"/>
      </right>
      <top/>
      <bottom style="thin">
        <color indexed="64"/>
      </bottom>
      <diagonal/>
    </border>
    <border>
      <left style="dashed">
        <color indexed="64"/>
      </left>
      <right/>
      <top style="thin">
        <color indexed="64"/>
      </top>
      <bottom style="thin">
        <color indexed="64"/>
      </bottom>
      <diagonal/>
    </border>
    <border>
      <left/>
      <right style="dashed">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style="dashed">
        <color indexed="64"/>
      </left>
      <right/>
      <top style="thin">
        <color indexed="64"/>
      </top>
      <bottom/>
      <diagonal/>
    </border>
    <border>
      <left/>
      <right style="dashed">
        <color indexed="64"/>
      </right>
      <top style="thin">
        <color indexed="64"/>
      </top>
      <bottom/>
      <diagonal/>
    </border>
    <border>
      <left style="dashed">
        <color indexed="64"/>
      </left>
      <right/>
      <top/>
      <bottom/>
      <diagonal/>
    </border>
    <border>
      <left/>
      <right style="dashed">
        <color indexed="64"/>
      </right>
      <top/>
      <bottom/>
      <diagonal/>
    </border>
    <border>
      <left style="dashed">
        <color indexed="64"/>
      </left>
      <right/>
      <top style="thin">
        <color indexed="64"/>
      </top>
      <bottom style="dashed">
        <color indexed="64"/>
      </bottom>
      <diagonal/>
    </border>
    <border>
      <left/>
      <right/>
      <top style="thin">
        <color indexed="64"/>
      </top>
      <bottom style="dashed">
        <color indexed="64"/>
      </bottom>
      <diagonal/>
    </border>
    <border>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right style="thin">
        <color rgb="FF000000"/>
      </right>
      <top/>
      <bottom/>
      <diagonal/>
    </border>
    <border>
      <left style="thin">
        <color rgb="FF000000"/>
      </left>
      <right style="thin">
        <color indexed="64"/>
      </right>
      <top style="thin">
        <color rgb="FF000000"/>
      </top>
      <bottom style="thin">
        <color indexed="64"/>
      </bottom>
      <diagonal/>
    </border>
    <border>
      <left style="thin">
        <color indexed="64"/>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style="medium">
        <color rgb="FF000000"/>
      </left>
      <right style="medium">
        <color rgb="FF000000"/>
      </right>
      <top style="thin">
        <color indexed="64"/>
      </top>
      <bottom/>
      <diagonal/>
    </border>
    <border>
      <left style="thin">
        <color indexed="64"/>
      </left>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style="thick">
        <color indexed="64"/>
      </left>
      <right style="thin">
        <color indexed="64"/>
      </right>
      <top style="thin">
        <color indexed="64"/>
      </top>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49" applyNumberFormat="0" applyFill="0" applyAlignment="0" applyProtection="0"/>
  </cellStyleXfs>
  <cellXfs count="806">
    <xf numFmtId="0" fontId="0" fillId="0" borderId="0" xfId="0"/>
    <xf numFmtId="44" fontId="6" fillId="2" borderId="0" xfId="0" applyNumberFormat="1" applyFont="1" applyFill="1"/>
    <xf numFmtId="0" fontId="6" fillId="0" borderId="0" xfId="0" applyFont="1"/>
    <xf numFmtId="0" fontId="6" fillId="3" borderId="0" xfId="0" applyFont="1" applyFill="1"/>
    <xf numFmtId="0" fontId="6" fillId="2" borderId="15" xfId="0" applyFont="1" applyFill="1" applyBorder="1" applyAlignment="1">
      <alignment horizontal="center"/>
    </xf>
    <xf numFmtId="165" fontId="6" fillId="5" borderId="0" xfId="0" applyNumberFormat="1" applyFont="1" applyFill="1" applyAlignment="1" applyProtection="1">
      <alignment horizontal="center"/>
      <protection locked="0"/>
    </xf>
    <xf numFmtId="44" fontId="6" fillId="3" borderId="15" xfId="0" applyNumberFormat="1" applyFont="1" applyFill="1" applyBorder="1"/>
    <xf numFmtId="0" fontId="7" fillId="0" borderId="0" xfId="0" applyFont="1"/>
    <xf numFmtId="44" fontId="6" fillId="0" borderId="0" xfId="0" applyNumberFormat="1" applyFont="1"/>
    <xf numFmtId="0" fontId="6" fillId="0" borderId="0" xfId="0" applyFont="1" applyAlignment="1">
      <alignment horizontal="center"/>
    </xf>
    <xf numFmtId="164" fontId="6" fillId="0" borderId="0" xfId="0" applyNumberFormat="1" applyFont="1" applyAlignment="1">
      <alignment horizontal="center"/>
    </xf>
    <xf numFmtId="0" fontId="6" fillId="2" borderId="0" xfId="0" applyFont="1" applyFill="1"/>
    <xf numFmtId="43" fontId="6" fillId="2" borderId="0" xfId="0" applyNumberFormat="1" applyFont="1" applyFill="1"/>
    <xf numFmtId="43" fontId="6" fillId="2" borderId="0" xfId="0" applyNumberFormat="1" applyFont="1" applyFill="1" applyAlignment="1">
      <alignment horizontal="center"/>
    </xf>
    <xf numFmtId="44" fontId="6" fillId="0" borderId="0" xfId="1" applyFont="1" applyFill="1"/>
    <xf numFmtId="0" fontId="8" fillId="0" borderId="0" xfId="0" applyFont="1"/>
    <xf numFmtId="43" fontId="8" fillId="0" borderId="0" xfId="0" applyNumberFormat="1" applyFont="1"/>
    <xf numFmtId="43" fontId="6" fillId="0" borderId="0" xfId="0" applyNumberFormat="1" applyFont="1"/>
    <xf numFmtId="164" fontId="6" fillId="0" borderId="0" xfId="0" applyNumberFormat="1" applyFont="1"/>
    <xf numFmtId="0" fontId="6" fillId="0" borderId="4" xfId="0" applyFont="1" applyBorder="1"/>
    <xf numFmtId="0" fontId="6" fillId="0" borderId="6" xfId="0" applyFont="1" applyBorder="1"/>
    <xf numFmtId="0" fontId="6" fillId="0" borderId="9" xfId="0" applyFont="1" applyBorder="1"/>
    <xf numFmtId="0" fontId="6" fillId="9" borderId="0" xfId="0" applyFont="1" applyFill="1"/>
    <xf numFmtId="0" fontId="7" fillId="3" borderId="1" xfId="0" applyFont="1" applyFill="1" applyBorder="1" applyAlignment="1">
      <alignment horizontal="center"/>
    </xf>
    <xf numFmtId="0" fontId="7" fillId="3" borderId="13" xfId="0" applyFont="1" applyFill="1" applyBorder="1" applyAlignment="1">
      <alignment horizontal="center"/>
    </xf>
    <xf numFmtId="0" fontId="6" fillId="3" borderId="1" xfId="0" applyFont="1" applyFill="1" applyBorder="1"/>
    <xf numFmtId="0" fontId="6" fillId="3" borderId="1" xfId="0" applyFont="1" applyFill="1" applyBorder="1" applyAlignment="1">
      <alignment horizontal="center"/>
    </xf>
    <xf numFmtId="42" fontId="6" fillId="2" borderId="1" xfId="0" applyNumberFormat="1" applyFont="1" applyFill="1" applyBorder="1"/>
    <xf numFmtId="42" fontId="6" fillId="2" borderId="1" xfId="0" applyNumberFormat="1" applyFont="1" applyFill="1" applyBorder="1" applyAlignment="1">
      <alignment horizontal="center"/>
    </xf>
    <xf numFmtId="167" fontId="6" fillId="2" borderId="1" xfId="1" applyNumberFormat="1" applyFont="1" applyFill="1" applyBorder="1"/>
    <xf numFmtId="0" fontId="6" fillId="13" borderId="0" xfId="0" applyFont="1" applyFill="1"/>
    <xf numFmtId="44" fontId="6" fillId="2" borderId="1" xfId="0" applyNumberFormat="1" applyFont="1" applyFill="1" applyBorder="1"/>
    <xf numFmtId="0" fontId="7" fillId="3" borderId="0" xfId="0" applyFont="1" applyFill="1" applyAlignment="1">
      <alignment horizontal="center"/>
    </xf>
    <xf numFmtId="44" fontId="6" fillId="3" borderId="0" xfId="0" applyNumberFormat="1" applyFont="1" applyFill="1"/>
    <xf numFmtId="42" fontId="6" fillId="3" borderId="1" xfId="0" applyNumberFormat="1" applyFont="1" applyFill="1" applyBorder="1"/>
    <xf numFmtId="42" fontId="6" fillId="3" borderId="0" xfId="0" applyNumberFormat="1" applyFont="1" applyFill="1"/>
    <xf numFmtId="42" fontId="6" fillId="3" borderId="1" xfId="0" applyNumberFormat="1" applyFont="1" applyFill="1" applyBorder="1" applyAlignment="1">
      <alignment horizontal="center"/>
    </xf>
    <xf numFmtId="0" fontId="9" fillId="10" borderId="1" xfId="3" applyFont="1" applyFill="1" applyBorder="1" applyAlignment="1">
      <alignment horizontal="center" vertical="center"/>
    </xf>
    <xf numFmtId="1" fontId="9" fillId="10" borderId="1" xfId="3" applyNumberFormat="1" applyFont="1" applyFill="1" applyBorder="1" applyAlignment="1">
      <alignment horizontal="center" vertical="center"/>
    </xf>
    <xf numFmtId="0" fontId="10" fillId="7" borderId="0" xfId="0" applyFont="1" applyFill="1" applyAlignment="1">
      <alignment horizontal="center"/>
    </xf>
    <xf numFmtId="0" fontId="10" fillId="7" borderId="1" xfId="0" applyFont="1" applyFill="1" applyBorder="1" applyAlignment="1">
      <alignment horizontal="center"/>
    </xf>
    <xf numFmtId="0" fontId="11" fillId="2" borderId="1" xfId="0" applyFont="1" applyFill="1" applyBorder="1" applyAlignment="1">
      <alignment horizontal="center"/>
    </xf>
    <xf numFmtId="0" fontId="11" fillId="2" borderId="15" xfId="0" applyFont="1" applyFill="1" applyBorder="1" applyAlignment="1">
      <alignment horizontal="center"/>
    </xf>
    <xf numFmtId="44" fontId="7" fillId="17" borderId="59" xfId="0" applyNumberFormat="1" applyFont="1" applyFill="1" applyBorder="1"/>
    <xf numFmtId="0" fontId="11" fillId="2" borderId="1" xfId="0" applyFont="1" applyFill="1" applyBorder="1"/>
    <xf numFmtId="0" fontId="11" fillId="2" borderId="15" xfId="0" applyFont="1" applyFill="1" applyBorder="1"/>
    <xf numFmtId="44" fontId="6" fillId="3" borderId="1" xfId="0" applyNumberFormat="1" applyFont="1" applyFill="1" applyBorder="1"/>
    <xf numFmtId="44" fontId="6" fillId="3" borderId="13" xfId="0" applyNumberFormat="1" applyFont="1" applyFill="1" applyBorder="1"/>
    <xf numFmtId="44" fontId="6" fillId="3" borderId="2" xfId="0" applyNumberFormat="1" applyFont="1" applyFill="1" applyBorder="1"/>
    <xf numFmtId="0" fontId="7" fillId="17" borderId="58" xfId="0" applyFont="1" applyFill="1" applyBorder="1"/>
    <xf numFmtId="44" fontId="7" fillId="17" borderId="58" xfId="0" applyNumberFormat="1" applyFont="1" applyFill="1" applyBorder="1"/>
    <xf numFmtId="0" fontId="12" fillId="3" borderId="0" xfId="0" applyFont="1" applyFill="1" applyAlignment="1">
      <alignment horizontal="center"/>
    </xf>
    <xf numFmtId="166" fontId="13" fillId="3" borderId="0" xfId="0" applyNumberFormat="1" applyFont="1" applyFill="1" applyAlignment="1">
      <alignment horizontal="center"/>
    </xf>
    <xf numFmtId="0" fontId="13" fillId="3" borderId="0" xfId="0" applyFont="1" applyFill="1" applyAlignment="1">
      <alignment horizontal="center"/>
    </xf>
    <xf numFmtId="0" fontId="6" fillId="3" borderId="0" xfId="0" applyFont="1" applyFill="1" applyAlignment="1">
      <alignment horizontal="left"/>
    </xf>
    <xf numFmtId="0" fontId="6" fillId="3" borderId="0" xfId="0" applyFont="1" applyFill="1" applyAlignment="1">
      <alignment horizontal="center"/>
    </xf>
    <xf numFmtId="0" fontId="14" fillId="3" borderId="0" xfId="0" applyFont="1" applyFill="1" applyAlignment="1">
      <alignment vertical="center"/>
    </xf>
    <xf numFmtId="0" fontId="14" fillId="3" borderId="0" xfId="0" applyFont="1" applyFill="1"/>
    <xf numFmtId="0" fontId="7" fillId="3" borderId="1" xfId="0" applyFont="1" applyFill="1" applyBorder="1"/>
    <xf numFmtId="0" fontId="10" fillId="4" borderId="1" xfId="0" applyFont="1" applyFill="1" applyBorder="1" applyAlignment="1">
      <alignment horizontal="center"/>
    </xf>
    <xf numFmtId="0" fontId="14" fillId="3" borderId="1" xfId="0" applyFont="1" applyFill="1" applyBorder="1" applyAlignment="1">
      <alignment horizontal="center"/>
    </xf>
    <xf numFmtId="0" fontId="14" fillId="3" borderId="0" xfId="0" applyFont="1" applyFill="1" applyAlignment="1">
      <alignment horizontal="center"/>
    </xf>
    <xf numFmtId="165" fontId="10" fillId="4" borderId="1" xfId="0" applyNumberFormat="1" applyFont="1" applyFill="1" applyBorder="1" applyAlignment="1">
      <alignment horizontal="center"/>
    </xf>
    <xf numFmtId="165" fontId="15" fillId="3" borderId="0" xfId="0" applyNumberFormat="1" applyFont="1" applyFill="1" applyAlignment="1">
      <alignment horizontal="center"/>
    </xf>
    <xf numFmtId="165" fontId="15" fillId="4" borderId="1" xfId="0" applyNumberFormat="1" applyFont="1" applyFill="1" applyBorder="1" applyAlignment="1">
      <alignment horizontal="center"/>
    </xf>
    <xf numFmtId="165" fontId="15" fillId="4" borderId="1" xfId="1" applyNumberFormat="1" applyFont="1" applyFill="1" applyBorder="1" applyAlignment="1">
      <alignment horizontal="center" vertical="center"/>
    </xf>
    <xf numFmtId="0" fontId="10" fillId="3" borderId="0" xfId="0" applyFont="1" applyFill="1" applyAlignment="1">
      <alignment horizontal="left"/>
    </xf>
    <xf numFmtId="0" fontId="10" fillId="7" borderId="1" xfId="0" applyFont="1" applyFill="1" applyBorder="1" applyAlignment="1">
      <alignment horizontal="left"/>
    </xf>
    <xf numFmtId="9" fontId="11" fillId="5" borderId="1" xfId="2" applyFont="1" applyFill="1" applyBorder="1" applyAlignment="1">
      <alignment horizontal="center"/>
    </xf>
    <xf numFmtId="0" fontId="10" fillId="4" borderId="1" xfId="0" applyFont="1" applyFill="1" applyBorder="1" applyAlignment="1">
      <alignment horizontal="left"/>
    </xf>
    <xf numFmtId="0" fontId="11" fillId="3" borderId="2" xfId="0" applyFont="1" applyFill="1" applyBorder="1" applyAlignment="1">
      <alignment horizontal="left"/>
    </xf>
    <xf numFmtId="0" fontId="11" fillId="3" borderId="3" xfId="0" applyFont="1" applyFill="1" applyBorder="1" applyAlignment="1">
      <alignment horizontal="center"/>
    </xf>
    <xf numFmtId="165" fontId="11" fillId="5" borderId="3" xfId="0" applyNumberFormat="1" applyFont="1" applyFill="1" applyBorder="1" applyAlignment="1" applyProtection="1">
      <alignment horizontal="center"/>
      <protection locked="0"/>
    </xf>
    <xf numFmtId="166" fontId="11" fillId="5" borderId="3" xfId="0" applyNumberFormat="1" applyFont="1" applyFill="1" applyBorder="1" applyAlignment="1" applyProtection="1">
      <alignment horizontal="center"/>
      <protection locked="0"/>
    </xf>
    <xf numFmtId="165" fontId="6" fillId="3" borderId="4" xfId="0" applyNumberFormat="1" applyFont="1" applyFill="1" applyBorder="1" applyAlignment="1">
      <alignment horizontal="center"/>
    </xf>
    <xf numFmtId="0" fontId="11" fillId="3" borderId="5" xfId="0" applyFont="1" applyFill="1" applyBorder="1" applyAlignment="1">
      <alignment horizontal="left"/>
    </xf>
    <xf numFmtId="0" fontId="11" fillId="3" borderId="0" xfId="0" applyFont="1" applyFill="1" applyAlignment="1">
      <alignment horizontal="center"/>
    </xf>
    <xf numFmtId="165" fontId="11" fillId="5" borderId="0" xfId="0" applyNumberFormat="1" applyFont="1" applyFill="1" applyAlignment="1" applyProtection="1">
      <alignment horizontal="center"/>
      <protection locked="0"/>
    </xf>
    <xf numFmtId="166" fontId="11" fillId="5" borderId="0" xfId="0" applyNumberFormat="1" applyFont="1" applyFill="1" applyAlignment="1" applyProtection="1">
      <alignment horizontal="center"/>
      <protection locked="0"/>
    </xf>
    <xf numFmtId="165" fontId="6" fillId="3" borderId="6" xfId="0" applyNumberFormat="1" applyFont="1" applyFill="1" applyBorder="1" applyAlignment="1">
      <alignment horizontal="center"/>
    </xf>
    <xf numFmtId="0" fontId="11" fillId="3" borderId="7" xfId="0" applyFont="1" applyFill="1" applyBorder="1" applyAlignment="1">
      <alignment horizontal="left"/>
    </xf>
    <xf numFmtId="0" fontId="11" fillId="3" borderId="8" xfId="0" applyFont="1" applyFill="1" applyBorder="1" applyAlignment="1">
      <alignment horizontal="center"/>
    </xf>
    <xf numFmtId="165" fontId="11" fillId="5" borderId="8" xfId="0" applyNumberFormat="1" applyFont="1" applyFill="1" applyBorder="1" applyAlignment="1" applyProtection="1">
      <alignment horizontal="center"/>
      <protection locked="0"/>
    </xf>
    <xf numFmtId="166" fontId="11" fillId="5" borderId="8" xfId="0" applyNumberFormat="1" applyFont="1" applyFill="1" applyBorder="1" applyAlignment="1" applyProtection="1">
      <alignment horizontal="center"/>
      <protection locked="0"/>
    </xf>
    <xf numFmtId="165" fontId="6" fillId="3" borderId="9" xfId="0" applyNumberFormat="1" applyFont="1" applyFill="1" applyBorder="1" applyAlignment="1">
      <alignment horizontal="center"/>
    </xf>
    <xf numFmtId="0" fontId="11" fillId="3" borderId="0" xfId="0" applyFont="1" applyFill="1" applyAlignment="1">
      <alignment horizontal="left"/>
    </xf>
    <xf numFmtId="165" fontId="10" fillId="7" borderId="1" xfId="0" applyNumberFormat="1" applyFont="1" applyFill="1" applyBorder="1" applyAlignment="1">
      <alignment horizontal="center"/>
    </xf>
    <xf numFmtId="165" fontId="10" fillId="7" borderId="0" xfId="0" applyNumberFormat="1" applyFont="1" applyFill="1"/>
    <xf numFmtId="0" fontId="16" fillId="3" borderId="0" xfId="0" applyFont="1" applyFill="1" applyAlignment="1">
      <alignment horizontal="left"/>
    </xf>
    <xf numFmtId="0" fontId="16" fillId="3" borderId="0" xfId="0" applyFont="1" applyFill="1" applyAlignment="1">
      <alignment horizontal="center"/>
    </xf>
    <xf numFmtId="165" fontId="16" fillId="3" borderId="0" xfId="0" applyNumberFormat="1" applyFont="1" applyFill="1" applyAlignment="1">
      <alignment horizontal="center"/>
    </xf>
    <xf numFmtId="166" fontId="16" fillId="3" borderId="0" xfId="0" applyNumberFormat="1" applyFont="1" applyFill="1" applyAlignment="1">
      <alignment horizontal="center"/>
    </xf>
    <xf numFmtId="165" fontId="6" fillId="3" borderId="0" xfId="0" applyNumberFormat="1" applyFont="1" applyFill="1" applyAlignment="1">
      <alignment horizontal="center"/>
    </xf>
    <xf numFmtId="166" fontId="6" fillId="3" borderId="0" xfId="0" applyNumberFormat="1" applyFont="1" applyFill="1" applyAlignment="1">
      <alignment horizontal="center"/>
    </xf>
    <xf numFmtId="165" fontId="11" fillId="5" borderId="4" xfId="0" applyNumberFormat="1" applyFont="1" applyFill="1" applyBorder="1" applyAlignment="1" applyProtection="1">
      <alignment horizontal="center"/>
      <protection locked="0"/>
    </xf>
    <xf numFmtId="9" fontId="11" fillId="5" borderId="1" xfId="2" applyFont="1" applyFill="1" applyBorder="1" applyAlignment="1" applyProtection="1">
      <alignment horizontal="center"/>
      <protection locked="0"/>
    </xf>
    <xf numFmtId="0" fontId="6" fillId="0" borderId="0" xfId="0" applyFont="1" applyAlignment="1">
      <alignment horizontal="left"/>
    </xf>
    <xf numFmtId="0" fontId="17" fillId="3" borderId="0" xfId="0" applyFont="1" applyFill="1" applyAlignment="1">
      <alignment wrapText="1"/>
    </xf>
    <xf numFmtId="0" fontId="9" fillId="10" borderId="0" xfId="3" applyFont="1" applyFill="1" applyAlignment="1">
      <alignment horizontal="left" vertical="center" indent="2"/>
    </xf>
    <xf numFmtId="0" fontId="9" fillId="10" borderId="0" xfId="3" applyFont="1" applyFill="1" applyBorder="1" applyAlignment="1">
      <alignment horizontal="center" vertical="center"/>
    </xf>
    <xf numFmtId="0" fontId="9" fillId="10" borderId="0" xfId="3" applyFont="1" applyFill="1" applyAlignment="1">
      <alignment horizontal="center" vertical="center"/>
    </xf>
    <xf numFmtId="0" fontId="18" fillId="3" borderId="0" xfId="0" applyFont="1" applyFill="1"/>
    <xf numFmtId="0" fontId="17" fillId="3" borderId="0" xfId="0" applyFont="1" applyFill="1" applyAlignment="1">
      <alignment horizontal="left" vertical="center" wrapText="1"/>
    </xf>
    <xf numFmtId="0" fontId="18" fillId="3" borderId="0" xfId="0" applyFont="1" applyFill="1" applyAlignment="1">
      <alignment horizontal="left"/>
    </xf>
    <xf numFmtId="0" fontId="18" fillId="0" borderId="0" xfId="0" applyFont="1" applyAlignment="1">
      <alignment horizontal="left"/>
    </xf>
    <xf numFmtId="0" fontId="17" fillId="3" borderId="0" xfId="0" applyFont="1" applyFill="1" applyAlignment="1">
      <alignment vertical="center" wrapText="1"/>
    </xf>
    <xf numFmtId="0" fontId="19" fillId="3" borderId="0" xfId="0" applyFont="1" applyFill="1" applyAlignment="1">
      <alignment wrapText="1"/>
    </xf>
    <xf numFmtId="0" fontId="22" fillId="3" borderId="0" xfId="0" applyFont="1" applyFill="1"/>
    <xf numFmtId="0" fontId="22" fillId="0" borderId="0" xfId="0" applyFont="1"/>
    <xf numFmtId="44" fontId="22" fillId="3" borderId="0" xfId="0" applyNumberFormat="1" applyFont="1" applyFill="1"/>
    <xf numFmtId="44" fontId="22" fillId="3" borderId="0" xfId="1" applyFont="1" applyFill="1"/>
    <xf numFmtId="0" fontId="18" fillId="0" borderId="0" xfId="0" applyFont="1"/>
    <xf numFmtId="0" fontId="20" fillId="16" borderId="0" xfId="0" applyFont="1" applyFill="1" applyAlignment="1">
      <alignment horizontal="left" vertical="center" indent="2"/>
    </xf>
    <xf numFmtId="0" fontId="23" fillId="12" borderId="0" xfId="0" applyFont="1" applyFill="1" applyAlignment="1">
      <alignment horizontal="center" vertical="center"/>
    </xf>
    <xf numFmtId="4" fontId="9" fillId="12" borderId="0" xfId="0" applyNumberFormat="1" applyFont="1" applyFill="1" applyAlignment="1">
      <alignment horizontal="center" vertical="center"/>
    </xf>
    <xf numFmtId="0" fontId="18" fillId="3" borderId="0" xfId="0" applyFont="1" applyFill="1" applyAlignment="1">
      <alignment horizontal="left" indent="2"/>
    </xf>
    <xf numFmtId="0" fontId="18" fillId="3" borderId="0" xfId="0" applyFont="1" applyFill="1" applyAlignment="1">
      <alignment horizontal="center"/>
    </xf>
    <xf numFmtId="0" fontId="22" fillId="3" borderId="0" xfId="0" applyFont="1" applyFill="1" applyAlignment="1">
      <alignment horizontal="left" indent="2"/>
    </xf>
    <xf numFmtId="0" fontId="18" fillId="0" borderId="0" xfId="0" applyFont="1" applyAlignment="1">
      <alignment horizontal="left" indent="2"/>
    </xf>
    <xf numFmtId="0" fontId="18" fillId="0" borderId="0" xfId="0" applyFont="1" applyAlignment="1">
      <alignment horizontal="center"/>
    </xf>
    <xf numFmtId="1" fontId="9" fillId="10" borderId="0" xfId="3" applyNumberFormat="1" applyFont="1" applyFill="1" applyBorder="1" applyAlignment="1">
      <alignment horizontal="center" vertical="center"/>
    </xf>
    <xf numFmtId="10" fontId="6" fillId="3" borderId="0" xfId="0" applyNumberFormat="1" applyFont="1" applyFill="1"/>
    <xf numFmtId="13" fontId="6" fillId="3" borderId="0" xfId="0" applyNumberFormat="1" applyFont="1" applyFill="1"/>
    <xf numFmtId="0" fontId="10" fillId="20" borderId="1" xfId="0" applyFont="1" applyFill="1" applyBorder="1" applyAlignment="1">
      <alignment horizontal="center" vertical="center"/>
    </xf>
    <xf numFmtId="0" fontId="10" fillId="20"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20" borderId="1" xfId="0" applyFont="1" applyFill="1" applyBorder="1" applyAlignment="1">
      <alignment horizontal="center"/>
    </xf>
    <xf numFmtId="1" fontId="11" fillId="3" borderId="1" xfId="0" applyNumberFormat="1" applyFont="1" applyFill="1" applyBorder="1" applyAlignment="1" applyProtection="1">
      <alignment horizontal="center"/>
      <protection locked="0"/>
    </xf>
    <xf numFmtId="37" fontId="6" fillId="3" borderId="1" xfId="0" applyNumberFormat="1" applyFont="1" applyFill="1" applyBorder="1" applyAlignment="1">
      <alignment horizontal="center"/>
    </xf>
    <xf numFmtId="44" fontId="6" fillId="2" borderId="1" xfId="0" applyNumberFormat="1" applyFont="1" applyFill="1" applyBorder="1" applyAlignment="1">
      <alignment horizontal="center"/>
    </xf>
    <xf numFmtId="10" fontId="6" fillId="0" borderId="1" xfId="2" applyNumberFormat="1" applyFont="1" applyFill="1" applyBorder="1" applyAlignment="1">
      <alignment horizontal="center"/>
    </xf>
    <xf numFmtId="1" fontId="6" fillId="2" borderId="1" xfId="0" applyNumberFormat="1" applyFont="1" applyFill="1" applyBorder="1" applyAlignment="1">
      <alignment horizontal="center"/>
    </xf>
    <xf numFmtId="44" fontId="6" fillId="0" borderId="1" xfId="0" applyNumberFormat="1" applyFont="1" applyBorder="1" applyAlignment="1">
      <alignment horizontal="center"/>
    </xf>
    <xf numFmtId="44" fontId="6" fillId="3" borderId="1" xfId="0" applyNumberFormat="1" applyFont="1" applyFill="1" applyBorder="1" applyAlignment="1">
      <alignment horizontal="center"/>
    </xf>
    <xf numFmtId="0" fontId="6" fillId="6" borderId="1" xfId="0" applyFont="1" applyFill="1" applyBorder="1" applyAlignment="1">
      <alignment horizontal="center"/>
    </xf>
    <xf numFmtId="167" fontId="6" fillId="3" borderId="1" xfId="0" applyNumberFormat="1" applyFont="1" applyFill="1" applyBorder="1" applyAlignment="1">
      <alignment horizontal="center"/>
    </xf>
    <xf numFmtId="10" fontId="6" fillId="3" borderId="1" xfId="0" applyNumberFormat="1" applyFont="1" applyFill="1" applyBorder="1" applyAlignment="1">
      <alignment horizontal="center"/>
    </xf>
    <xf numFmtId="3" fontId="6" fillId="3" borderId="1" xfId="0" applyNumberFormat="1" applyFont="1" applyFill="1" applyBorder="1" applyAlignment="1">
      <alignment horizontal="center"/>
    </xf>
    <xf numFmtId="1" fontId="7" fillId="6" borderId="1" xfId="0" applyNumberFormat="1" applyFont="1" applyFill="1" applyBorder="1" applyAlignment="1">
      <alignment horizontal="center"/>
    </xf>
    <xf numFmtId="3" fontId="7" fillId="6" borderId="1" xfId="0" applyNumberFormat="1" applyFont="1" applyFill="1" applyBorder="1" applyAlignment="1">
      <alignment horizontal="center"/>
    </xf>
    <xf numFmtId="44" fontId="7" fillId="6" borderId="1" xfId="0" applyNumberFormat="1" applyFont="1" applyFill="1" applyBorder="1" applyAlignment="1">
      <alignment horizontal="center"/>
    </xf>
    <xf numFmtId="10" fontId="7" fillId="6" borderId="1" xfId="2" applyNumberFormat="1" applyFont="1" applyFill="1" applyBorder="1" applyAlignment="1">
      <alignment horizontal="center"/>
    </xf>
    <xf numFmtId="167" fontId="7" fillId="6" borderId="1" xfId="0" applyNumberFormat="1" applyFont="1" applyFill="1" applyBorder="1" applyAlignment="1">
      <alignment horizontal="center"/>
    </xf>
    <xf numFmtId="171" fontId="7" fillId="6" borderId="1" xfId="0" applyNumberFormat="1" applyFont="1" applyFill="1" applyBorder="1" applyAlignment="1">
      <alignment horizontal="center"/>
    </xf>
    <xf numFmtId="0" fontId="7" fillId="6" borderId="1" xfId="0" applyFont="1" applyFill="1" applyBorder="1" applyAlignment="1">
      <alignment horizontal="center"/>
    </xf>
    <xf numFmtId="44" fontId="7" fillId="14" borderId="1" xfId="0" applyNumberFormat="1" applyFont="1" applyFill="1" applyBorder="1"/>
    <xf numFmtId="0" fontId="6" fillId="14" borderId="1" xfId="0" applyFont="1" applyFill="1" applyBorder="1"/>
    <xf numFmtId="10" fontId="7" fillId="6" borderId="1" xfId="0" applyNumberFormat="1" applyFont="1" applyFill="1" applyBorder="1" applyAlignment="1">
      <alignment horizontal="center"/>
    </xf>
    <xf numFmtId="10" fontId="7" fillId="3" borderId="1" xfId="0" applyNumberFormat="1" applyFont="1" applyFill="1" applyBorder="1" applyAlignment="1">
      <alignment horizontal="center"/>
    </xf>
    <xf numFmtId="3" fontId="7" fillId="3" borderId="1" xfId="0" applyNumberFormat="1" applyFont="1" applyFill="1" applyBorder="1"/>
    <xf numFmtId="44" fontId="7" fillId="3" borderId="1" xfId="0" applyNumberFormat="1" applyFont="1" applyFill="1" applyBorder="1"/>
    <xf numFmtId="44" fontId="6" fillId="3" borderId="0" xfId="0" applyNumberFormat="1" applyFont="1" applyFill="1" applyAlignment="1">
      <alignment horizontal="center"/>
    </xf>
    <xf numFmtId="168" fontId="6" fillId="3" borderId="0" xfId="0" applyNumberFormat="1" applyFont="1" applyFill="1"/>
    <xf numFmtId="9" fontId="6" fillId="3" borderId="0" xfId="2" applyFont="1" applyFill="1"/>
    <xf numFmtId="168" fontId="6" fillId="3" borderId="0" xfId="0" applyNumberFormat="1" applyFont="1" applyFill="1" applyAlignment="1">
      <alignment horizontal="center"/>
    </xf>
    <xf numFmtId="169" fontId="6" fillId="3" borderId="0" xfId="0" applyNumberFormat="1" applyFont="1" applyFill="1"/>
    <xf numFmtId="0" fontId="7" fillId="3" borderId="4" xfId="0" applyFont="1" applyFill="1" applyBorder="1" applyAlignment="1">
      <alignment horizontal="center"/>
    </xf>
    <xf numFmtId="172" fontId="7" fillId="3" borderId="1" xfId="2" applyNumberFormat="1" applyFont="1" applyFill="1" applyBorder="1" applyAlignment="1">
      <alignment horizontal="center"/>
    </xf>
    <xf numFmtId="1" fontId="7" fillId="3" borderId="1" xfId="0" applyNumberFormat="1" applyFont="1" applyFill="1" applyBorder="1" applyAlignment="1">
      <alignment horizontal="center"/>
    </xf>
    <xf numFmtId="172" fontId="6" fillId="3" borderId="0" xfId="0" applyNumberFormat="1" applyFont="1" applyFill="1"/>
    <xf numFmtId="170" fontId="7" fillId="2" borderId="1" xfId="0" applyNumberFormat="1" applyFont="1" applyFill="1" applyBorder="1" applyAlignment="1">
      <alignment horizontal="center"/>
    </xf>
    <xf numFmtId="9" fontId="21" fillId="0" borderId="0" xfId="0" applyNumberFormat="1" applyFont="1"/>
    <xf numFmtId="0" fontId="7" fillId="3" borderId="0" xfId="0" applyFont="1" applyFill="1"/>
    <xf numFmtId="172" fontId="6" fillId="3" borderId="1" xfId="2" applyNumberFormat="1" applyFont="1" applyFill="1" applyBorder="1" applyAlignment="1">
      <alignment horizontal="center"/>
    </xf>
    <xf numFmtId="9" fontId="6" fillId="2" borderId="1" xfId="2" applyFont="1" applyFill="1" applyBorder="1" applyAlignment="1">
      <alignment horizontal="center"/>
    </xf>
    <xf numFmtId="1" fontId="6" fillId="3" borderId="0" xfId="2" applyNumberFormat="1" applyFont="1" applyFill="1" applyAlignment="1">
      <alignment horizontal="center"/>
    </xf>
    <xf numFmtId="1" fontId="6" fillId="2" borderId="0" xfId="2" applyNumberFormat="1" applyFont="1" applyFill="1" applyAlignment="1">
      <alignment horizontal="center"/>
    </xf>
    <xf numFmtId="9" fontId="7" fillId="3" borderId="0" xfId="0" applyNumberFormat="1" applyFont="1" applyFill="1"/>
    <xf numFmtId="0" fontId="7" fillId="3" borderId="0" xfId="0" applyFont="1" applyFill="1" applyAlignment="1">
      <alignment horizontal="right"/>
    </xf>
    <xf numFmtId="173" fontId="10" fillId="7" borderId="1" xfId="0" applyNumberFormat="1" applyFont="1" applyFill="1" applyBorder="1" applyAlignment="1">
      <alignment horizontal="center"/>
    </xf>
    <xf numFmtId="173" fontId="10" fillId="22" borderId="1" xfId="0" applyNumberFormat="1" applyFont="1" applyFill="1" applyBorder="1" applyAlignment="1">
      <alignment horizontal="center"/>
    </xf>
    <xf numFmtId="173" fontId="10" fillId="0" borderId="1" xfId="0" applyNumberFormat="1" applyFont="1" applyBorder="1" applyAlignment="1">
      <alignment horizontal="center"/>
    </xf>
    <xf numFmtId="0" fontId="10" fillId="22" borderId="1" xfId="0" applyFont="1" applyFill="1" applyBorder="1" applyAlignment="1">
      <alignment horizontal="center"/>
    </xf>
    <xf numFmtId="0" fontId="6" fillId="0" borderId="1" xfId="0" applyFont="1" applyBorder="1" applyAlignment="1">
      <alignment horizontal="center"/>
    </xf>
    <xf numFmtId="0" fontId="7" fillId="22" borderId="1" xfId="0" applyFont="1" applyFill="1" applyBorder="1" applyAlignment="1">
      <alignment horizontal="center"/>
    </xf>
    <xf numFmtId="0" fontId="6" fillId="2" borderId="1" xfId="0" applyFont="1" applyFill="1" applyBorder="1" applyAlignment="1">
      <alignment horizontal="center"/>
    </xf>
    <xf numFmtId="1" fontId="6" fillId="3" borderId="1" xfId="0" applyNumberFormat="1" applyFont="1" applyFill="1" applyBorder="1" applyAlignment="1">
      <alignment horizontal="center"/>
    </xf>
    <xf numFmtId="172" fontId="6" fillId="0" borderId="1" xfId="2" applyNumberFormat="1" applyFont="1" applyFill="1" applyBorder="1" applyAlignment="1">
      <alignment horizontal="center"/>
    </xf>
    <xf numFmtId="0" fontId="8" fillId="3" borderId="0" xfId="0" applyFont="1" applyFill="1"/>
    <xf numFmtId="167" fontId="6" fillId="3" borderId="0" xfId="0" applyNumberFormat="1" applyFont="1" applyFill="1"/>
    <xf numFmtId="0" fontId="7" fillId="0" borderId="1" xfId="0" applyFont="1" applyBorder="1" applyAlignment="1">
      <alignment horizontal="center"/>
    </xf>
    <xf numFmtId="10" fontId="7" fillId="0" borderId="1" xfId="0" applyNumberFormat="1" applyFont="1" applyBorder="1" applyAlignment="1">
      <alignment horizontal="center"/>
    </xf>
    <xf numFmtId="0" fontId="7" fillId="6" borderId="4" xfId="0" applyFont="1" applyFill="1" applyBorder="1" applyAlignment="1">
      <alignment horizontal="center"/>
    </xf>
    <xf numFmtId="1" fontId="7" fillId="0" borderId="1" xfId="0" applyNumberFormat="1" applyFont="1" applyBorder="1" applyAlignment="1">
      <alignment horizontal="center"/>
    </xf>
    <xf numFmtId="1" fontId="6" fillId="3" borderId="0" xfId="0" applyNumberFormat="1" applyFont="1" applyFill="1" applyAlignment="1">
      <alignment horizontal="center"/>
    </xf>
    <xf numFmtId="1" fontId="6" fillId="3" borderId="0" xfId="0" applyNumberFormat="1" applyFont="1" applyFill="1" applyAlignment="1">
      <alignment horizontal="center" vertical="center"/>
    </xf>
    <xf numFmtId="10" fontId="6" fillId="3" borderId="0" xfId="0" applyNumberFormat="1" applyFont="1" applyFill="1" applyAlignment="1">
      <alignment horizontal="center" vertical="center"/>
    </xf>
    <xf numFmtId="0" fontId="6" fillId="3" borderId="0" xfId="0" applyFont="1" applyFill="1" applyAlignment="1">
      <alignment horizontal="center" vertical="center"/>
    </xf>
    <xf numFmtId="0" fontId="6" fillId="6" borderId="63" xfId="0" applyFont="1" applyFill="1" applyBorder="1" applyAlignment="1">
      <alignment horizontal="center" vertical="center"/>
    </xf>
    <xf numFmtId="0" fontId="6" fillId="3" borderId="64" xfId="0" applyFont="1" applyFill="1" applyBorder="1"/>
    <xf numFmtId="0" fontId="7" fillId="3" borderId="2" xfId="0" applyFont="1" applyFill="1" applyBorder="1"/>
    <xf numFmtId="44" fontId="7" fillId="22" borderId="66" xfId="1" applyFont="1" applyFill="1" applyBorder="1"/>
    <xf numFmtId="44" fontId="7" fillId="22" borderId="67" xfId="1" applyFont="1" applyFill="1" applyBorder="1"/>
    <xf numFmtId="0" fontId="6" fillId="22" borderId="68" xfId="0" applyFont="1" applyFill="1" applyBorder="1"/>
    <xf numFmtId="44" fontId="6" fillId="3" borderId="3" xfId="0" applyNumberFormat="1" applyFont="1" applyFill="1" applyBorder="1"/>
    <xf numFmtId="44" fontId="6" fillId="6" borderId="69" xfId="0" applyNumberFormat="1" applyFont="1" applyFill="1" applyBorder="1"/>
    <xf numFmtId="0" fontId="6" fillId="3" borderId="7" xfId="0" applyFont="1" applyFill="1" applyBorder="1"/>
    <xf numFmtId="10" fontId="6" fillId="2" borderId="8" xfId="2" applyNumberFormat="1" applyFont="1" applyFill="1" applyBorder="1"/>
    <xf numFmtId="10" fontId="6" fillId="22" borderId="70" xfId="2" applyNumberFormat="1" applyFont="1" applyFill="1" applyBorder="1"/>
    <xf numFmtId="10" fontId="6" fillId="22" borderId="8" xfId="2" applyNumberFormat="1" applyFont="1" applyFill="1" applyBorder="1"/>
    <xf numFmtId="0" fontId="6" fillId="22" borderId="71" xfId="0" applyFont="1" applyFill="1" applyBorder="1"/>
    <xf numFmtId="44" fontId="6" fillId="3" borderId="8" xfId="0" applyNumberFormat="1" applyFont="1" applyFill="1" applyBorder="1"/>
    <xf numFmtId="44" fontId="6" fillId="6" borderId="72" xfId="0" applyNumberFormat="1" applyFont="1" applyFill="1" applyBorder="1"/>
    <xf numFmtId="0" fontId="7" fillId="3" borderId="13" xfId="0" applyFont="1" applyFill="1" applyBorder="1"/>
    <xf numFmtId="0" fontId="7" fillId="3" borderId="14" xfId="0" applyFont="1" applyFill="1" applyBorder="1"/>
    <xf numFmtId="44" fontId="6" fillId="3" borderId="73" xfId="0" applyNumberFormat="1" applyFont="1" applyFill="1" applyBorder="1"/>
    <xf numFmtId="44" fontId="6" fillId="3" borderId="14" xfId="0" applyNumberFormat="1" applyFont="1" applyFill="1" applyBorder="1"/>
    <xf numFmtId="44" fontId="6" fillId="3" borderId="74" xfId="0" applyNumberFormat="1" applyFont="1" applyFill="1" applyBorder="1"/>
    <xf numFmtId="44" fontId="6" fillId="6" borderId="75" xfId="0" applyNumberFormat="1" applyFont="1" applyFill="1" applyBorder="1"/>
    <xf numFmtId="0" fontId="6" fillId="3" borderId="13" xfId="0" applyFont="1" applyFill="1" applyBorder="1"/>
    <xf numFmtId="0" fontId="6" fillId="3" borderId="14" xfId="0" applyFont="1" applyFill="1" applyBorder="1"/>
    <xf numFmtId="0" fontId="6" fillId="3" borderId="73" xfId="0" applyFont="1" applyFill="1" applyBorder="1"/>
    <xf numFmtId="44" fontId="6" fillId="3" borderId="75" xfId="0" applyNumberFormat="1" applyFont="1" applyFill="1" applyBorder="1"/>
    <xf numFmtId="0" fontId="6" fillId="3" borderId="2" xfId="0" applyFont="1" applyFill="1" applyBorder="1"/>
    <xf numFmtId="0" fontId="6" fillId="3" borderId="3" xfId="0" applyFont="1" applyFill="1" applyBorder="1"/>
    <xf numFmtId="43" fontId="6" fillId="3" borderId="76" xfId="0" applyNumberFormat="1" applyFont="1" applyFill="1" applyBorder="1"/>
    <xf numFmtId="43" fontId="6" fillId="3" borderId="3" xfId="0" applyNumberFormat="1" applyFont="1" applyFill="1" applyBorder="1"/>
    <xf numFmtId="43" fontId="6" fillId="3" borderId="77" xfId="0" applyNumberFormat="1" applyFont="1" applyFill="1" applyBorder="1"/>
    <xf numFmtId="0" fontId="12" fillId="3" borderId="7" xfId="0" applyFont="1" applyFill="1" applyBorder="1"/>
    <xf numFmtId="9" fontId="12" fillId="3" borderId="8" xfId="2" applyFont="1" applyFill="1" applyBorder="1"/>
    <xf numFmtId="9" fontId="12" fillId="2" borderId="70" xfId="2" applyFont="1" applyFill="1" applyBorder="1"/>
    <xf numFmtId="9" fontId="12" fillId="2" borderId="8" xfId="2" applyFont="1" applyFill="1" applyBorder="1"/>
    <xf numFmtId="10" fontId="12" fillId="2" borderId="71" xfId="0" applyNumberFormat="1" applyFont="1" applyFill="1" applyBorder="1"/>
    <xf numFmtId="10" fontId="6" fillId="3" borderId="8" xfId="0" applyNumberFormat="1" applyFont="1" applyFill="1" applyBorder="1"/>
    <xf numFmtId="10" fontId="6" fillId="6" borderId="72" xfId="0" applyNumberFormat="1" applyFont="1" applyFill="1" applyBorder="1"/>
    <xf numFmtId="0" fontId="6" fillId="3" borderId="5" xfId="0" applyFont="1" applyFill="1" applyBorder="1"/>
    <xf numFmtId="44" fontId="6" fillId="2" borderId="0" xfId="2" applyNumberFormat="1" applyFont="1" applyFill="1" applyBorder="1"/>
    <xf numFmtId="44" fontId="6" fillId="22" borderId="78" xfId="2" applyNumberFormat="1" applyFont="1" applyFill="1" applyBorder="1"/>
    <xf numFmtId="44" fontId="6" fillId="22" borderId="0" xfId="2" applyNumberFormat="1" applyFont="1" applyFill="1" applyBorder="1"/>
    <xf numFmtId="44" fontId="6" fillId="22" borderId="79" xfId="0" applyNumberFormat="1" applyFont="1" applyFill="1" applyBorder="1"/>
    <xf numFmtId="10" fontId="6" fillId="2" borderId="0" xfId="2" applyNumberFormat="1" applyFont="1" applyFill="1" applyBorder="1"/>
    <xf numFmtId="10" fontId="6" fillId="22" borderId="78" xfId="2" applyNumberFormat="1" applyFont="1" applyFill="1" applyBorder="1"/>
    <xf numFmtId="10" fontId="6" fillId="22" borderId="0" xfId="2" applyNumberFormat="1" applyFont="1" applyFill="1" applyBorder="1"/>
    <xf numFmtId="44" fontId="6" fillId="6" borderId="64" xfId="0" applyNumberFormat="1" applyFont="1" applyFill="1" applyBorder="1"/>
    <xf numFmtId="44" fontId="6" fillId="22" borderId="71" xfId="0" applyNumberFormat="1" applyFont="1" applyFill="1" applyBorder="1"/>
    <xf numFmtId="0" fontId="7" fillId="3" borderId="3" xfId="0" applyFont="1" applyFill="1" applyBorder="1"/>
    <xf numFmtId="44" fontId="6" fillId="3" borderId="76" xfId="0" applyNumberFormat="1" applyFont="1" applyFill="1" applyBorder="1"/>
    <xf numFmtId="44" fontId="6" fillId="3" borderId="77" xfId="0" applyNumberFormat="1" applyFont="1" applyFill="1" applyBorder="1"/>
    <xf numFmtId="0" fontId="6" fillId="3" borderId="8" xfId="0" applyFont="1" applyFill="1" applyBorder="1"/>
    <xf numFmtId="0" fontId="6" fillId="3" borderId="70" xfId="0" applyFont="1" applyFill="1" applyBorder="1"/>
    <xf numFmtId="44" fontId="6" fillId="3" borderId="71" xfId="0" applyNumberFormat="1" applyFont="1" applyFill="1" applyBorder="1"/>
    <xf numFmtId="44" fontId="6" fillId="3" borderId="64" xfId="0" applyNumberFormat="1" applyFont="1" applyFill="1" applyBorder="1"/>
    <xf numFmtId="44" fontId="6" fillId="3" borderId="72" xfId="0" applyNumberFormat="1" applyFont="1" applyFill="1" applyBorder="1"/>
    <xf numFmtId="0" fontId="7" fillId="22" borderId="73" xfId="0" applyFont="1" applyFill="1" applyBorder="1"/>
    <xf numFmtId="0" fontId="7" fillId="22" borderId="14" xfId="0" applyFont="1" applyFill="1" applyBorder="1"/>
    <xf numFmtId="0" fontId="7" fillId="22" borderId="74" xfId="0" applyFont="1" applyFill="1" applyBorder="1"/>
    <xf numFmtId="44" fontId="7" fillId="3" borderId="14" xfId="0" applyNumberFormat="1" applyFont="1" applyFill="1" applyBorder="1"/>
    <xf numFmtId="44" fontId="7" fillId="6" borderId="75" xfId="0" applyNumberFormat="1" applyFont="1" applyFill="1" applyBorder="1"/>
    <xf numFmtId="0" fontId="6" fillId="3" borderId="76" xfId="0" applyFont="1" applyFill="1" applyBorder="1"/>
    <xf numFmtId="44" fontId="6" fillId="3" borderId="69" xfId="0" applyNumberFormat="1" applyFont="1" applyFill="1" applyBorder="1"/>
    <xf numFmtId="44" fontId="6" fillId="2" borderId="3" xfId="1" applyFont="1" applyFill="1" applyBorder="1"/>
    <xf numFmtId="44" fontId="6" fillId="22" borderId="76" xfId="1" applyFont="1" applyFill="1" applyBorder="1"/>
    <xf numFmtId="44" fontId="6" fillId="22" borderId="3" xfId="1" applyFont="1" applyFill="1" applyBorder="1"/>
    <xf numFmtId="44" fontId="6" fillId="22" borderId="77" xfId="0" applyNumberFormat="1" applyFont="1" applyFill="1" applyBorder="1"/>
    <xf numFmtId="44" fontId="6" fillId="0" borderId="3" xfId="0" applyNumberFormat="1" applyFont="1" applyBorder="1"/>
    <xf numFmtId="44" fontId="6" fillId="2" borderId="0" xfId="1" applyFont="1" applyFill="1" applyBorder="1"/>
    <xf numFmtId="44" fontId="6" fillId="22" borderId="78" xfId="1" applyFont="1" applyFill="1" applyBorder="1"/>
    <xf numFmtId="44" fontId="6" fillId="22" borderId="0" xfId="1" applyFont="1" applyFill="1" applyBorder="1"/>
    <xf numFmtId="44" fontId="11" fillId="2" borderId="0" xfId="1" applyFont="1" applyFill="1" applyBorder="1"/>
    <xf numFmtId="44" fontId="11" fillId="22" borderId="78" xfId="1" applyFont="1" applyFill="1" applyBorder="1"/>
    <xf numFmtId="44" fontId="11" fillId="22" borderId="0" xfId="1" applyFont="1" applyFill="1" applyBorder="1"/>
    <xf numFmtId="44" fontId="6" fillId="2" borderId="8" xfId="1" applyFont="1" applyFill="1" applyBorder="1"/>
    <xf numFmtId="44" fontId="6" fillId="22" borderId="70" xfId="1" applyFont="1" applyFill="1" applyBorder="1"/>
    <xf numFmtId="44" fontId="6" fillId="22" borderId="8" xfId="1" applyFont="1" applyFill="1" applyBorder="1"/>
    <xf numFmtId="44" fontId="6" fillId="0" borderId="8" xfId="0" applyNumberFormat="1" applyFont="1" applyBorder="1"/>
    <xf numFmtId="44" fontId="6" fillId="22" borderId="73" xfId="0" applyNumberFormat="1" applyFont="1" applyFill="1" applyBorder="1"/>
    <xf numFmtId="44" fontId="6" fillId="22" borderId="14" xfId="0" applyNumberFormat="1" applyFont="1" applyFill="1" applyBorder="1"/>
    <xf numFmtId="44" fontId="6" fillId="22" borderId="74" xfId="0" applyNumberFormat="1" applyFont="1" applyFill="1" applyBorder="1"/>
    <xf numFmtId="0" fontId="6" fillId="3" borderId="78" xfId="0" applyFont="1" applyFill="1" applyBorder="1"/>
    <xf numFmtId="44" fontId="6" fillId="3" borderId="79" xfId="0" applyNumberFormat="1" applyFont="1" applyFill="1" applyBorder="1"/>
    <xf numFmtId="44" fontId="7" fillId="3" borderId="73" xfId="0" applyNumberFormat="1" applyFont="1" applyFill="1" applyBorder="1"/>
    <xf numFmtId="44" fontId="7" fillId="3" borderId="74" xfId="0" applyNumberFormat="1" applyFont="1" applyFill="1" applyBorder="1"/>
    <xf numFmtId="0" fontId="7" fillId="3" borderId="14" xfId="0" applyFont="1" applyFill="1" applyBorder="1" applyAlignment="1">
      <alignment horizontal="center"/>
    </xf>
    <xf numFmtId="0" fontId="7" fillId="3" borderId="73" xfId="0" applyFont="1" applyFill="1" applyBorder="1" applyAlignment="1">
      <alignment horizontal="center"/>
    </xf>
    <xf numFmtId="10" fontId="6" fillId="3" borderId="14" xfId="0" applyNumberFormat="1" applyFont="1" applyFill="1" applyBorder="1"/>
    <xf numFmtId="44" fontId="6" fillId="22" borderId="76" xfId="0" applyNumberFormat="1" applyFont="1" applyFill="1" applyBorder="1"/>
    <xf numFmtId="44" fontId="6" fillId="22" borderId="3" xfId="0" applyNumberFormat="1" applyFont="1" applyFill="1" applyBorder="1"/>
    <xf numFmtId="44" fontId="6" fillId="22" borderId="78" xfId="0" applyNumberFormat="1" applyFont="1" applyFill="1" applyBorder="1"/>
    <xf numFmtId="44" fontId="6" fillId="22" borderId="0" xfId="0" applyNumberFormat="1" applyFont="1" applyFill="1"/>
    <xf numFmtId="0" fontId="6" fillId="22" borderId="78" xfId="0" applyFont="1" applyFill="1" applyBorder="1"/>
    <xf numFmtId="0" fontId="6" fillId="22" borderId="0" xfId="0" applyFont="1" applyFill="1"/>
    <xf numFmtId="0" fontId="6" fillId="22" borderId="70" xfId="0" applyFont="1" applyFill="1" applyBorder="1"/>
    <xf numFmtId="0" fontId="6" fillId="22" borderId="8" xfId="0" applyFont="1" applyFill="1" applyBorder="1"/>
    <xf numFmtId="44" fontId="6" fillId="22" borderId="70" xfId="0" applyNumberFormat="1" applyFont="1" applyFill="1" applyBorder="1"/>
    <xf numFmtId="44" fontId="6" fillId="22" borderId="8" xfId="0" applyNumberFormat="1" applyFont="1" applyFill="1" applyBorder="1"/>
    <xf numFmtId="44" fontId="6" fillId="0" borderId="14" xfId="0" applyNumberFormat="1" applyFont="1" applyBorder="1"/>
    <xf numFmtId="0" fontId="6" fillId="22" borderId="76" xfId="0" applyFont="1" applyFill="1" applyBorder="1"/>
    <xf numFmtId="0" fontId="6" fillId="22" borderId="3" xfId="0" applyFont="1" applyFill="1" applyBorder="1"/>
    <xf numFmtId="0" fontId="6" fillId="2" borderId="8" xfId="0" applyFont="1" applyFill="1" applyBorder="1"/>
    <xf numFmtId="44" fontId="6" fillId="6" borderId="64" xfId="1" applyFont="1" applyFill="1" applyBorder="1"/>
    <xf numFmtId="10" fontId="6" fillId="2" borderId="14" xfId="0" applyNumberFormat="1" applyFont="1" applyFill="1" applyBorder="1"/>
    <xf numFmtId="44" fontId="6" fillId="2" borderId="14" xfId="1" applyFont="1" applyFill="1" applyBorder="1"/>
    <xf numFmtId="0" fontId="7" fillId="3" borderId="5" xfId="0" applyFont="1" applyFill="1" applyBorder="1"/>
    <xf numFmtId="0" fontId="7" fillId="3" borderId="78" xfId="0" applyFont="1" applyFill="1" applyBorder="1"/>
    <xf numFmtId="44" fontId="6" fillId="22" borderId="73" xfId="1" applyFont="1" applyFill="1" applyBorder="1"/>
    <xf numFmtId="44" fontId="6" fillId="22" borderId="14" xfId="1" applyFont="1" applyFill="1" applyBorder="1"/>
    <xf numFmtId="10" fontId="6" fillId="3" borderId="64" xfId="0" applyNumberFormat="1" applyFont="1" applyFill="1" applyBorder="1"/>
    <xf numFmtId="44" fontId="7" fillId="3" borderId="80" xfId="0" applyNumberFormat="1" applyFont="1" applyFill="1" applyBorder="1"/>
    <xf numFmtId="44" fontId="7" fillId="3" borderId="81" xfId="0" applyNumberFormat="1" applyFont="1" applyFill="1" applyBorder="1"/>
    <xf numFmtId="44" fontId="7" fillId="3" borderId="82" xfId="0" applyNumberFormat="1" applyFont="1" applyFill="1" applyBorder="1"/>
    <xf numFmtId="44" fontId="7" fillId="6" borderId="83" xfId="0" applyNumberFormat="1" applyFont="1" applyFill="1" applyBorder="1"/>
    <xf numFmtId="0" fontId="10" fillId="3" borderId="34" xfId="0" applyFont="1" applyFill="1" applyBorder="1"/>
    <xf numFmtId="0" fontId="6" fillId="3" borderId="4" xfId="0" applyFont="1" applyFill="1" applyBorder="1"/>
    <xf numFmtId="0" fontId="7" fillId="3" borderId="46" xfId="0" applyFont="1" applyFill="1" applyBorder="1" applyAlignment="1">
      <alignment horizontal="center"/>
    </xf>
    <xf numFmtId="0" fontId="6" fillId="3" borderId="34" xfId="0" applyFont="1" applyFill="1" applyBorder="1"/>
    <xf numFmtId="0" fontId="7" fillId="3" borderId="5" xfId="0" applyFont="1" applyFill="1" applyBorder="1" applyAlignment="1">
      <alignment horizontal="center" vertical="center"/>
    </xf>
    <xf numFmtId="0" fontId="7" fillId="3" borderId="22" xfId="0" applyFont="1" applyFill="1" applyBorder="1" applyAlignment="1">
      <alignment horizontal="center" vertical="center"/>
    </xf>
    <xf numFmtId="0" fontId="6" fillId="3" borderId="6" xfId="0" applyFont="1" applyFill="1" applyBorder="1"/>
    <xf numFmtId="0" fontId="6" fillId="3" borderId="46"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19" xfId="0" applyFont="1" applyFill="1" applyBorder="1"/>
    <xf numFmtId="0" fontId="6" fillId="3" borderId="24" xfId="0" applyFont="1" applyFill="1" applyBorder="1"/>
    <xf numFmtId="0" fontId="6" fillId="3" borderId="41" xfId="0" applyFont="1" applyFill="1" applyBorder="1" applyAlignment="1">
      <alignment horizontal="center" vertical="center"/>
    </xf>
    <xf numFmtId="0" fontId="6" fillId="3" borderId="23" xfId="0" applyFont="1" applyFill="1" applyBorder="1"/>
    <xf numFmtId="44" fontId="6" fillId="3" borderId="19" xfId="0" applyNumberFormat="1" applyFont="1" applyFill="1" applyBorder="1"/>
    <xf numFmtId="44" fontId="6" fillId="3" borderId="10" xfId="0" applyNumberFormat="1" applyFont="1" applyFill="1" applyBorder="1" applyAlignment="1">
      <alignment horizontal="center" vertical="center"/>
    </xf>
    <xf numFmtId="0" fontId="6" fillId="2" borderId="19" xfId="0" applyFont="1" applyFill="1" applyBorder="1" applyAlignment="1">
      <alignment horizontal="center" vertical="center"/>
    </xf>
    <xf numFmtId="0" fontId="6" fillId="3" borderId="22" xfId="0" applyFont="1" applyFill="1" applyBorder="1"/>
    <xf numFmtId="0" fontId="6" fillId="3" borderId="21" xfId="0" applyFont="1" applyFill="1" applyBorder="1"/>
    <xf numFmtId="44" fontId="6" fillId="2" borderId="4" xfId="0" applyNumberFormat="1" applyFont="1" applyFill="1" applyBorder="1" applyAlignment="1">
      <alignment horizontal="center" vertical="center"/>
    </xf>
    <xf numFmtId="44" fontId="6" fillId="3" borderId="23" xfId="0" applyNumberFormat="1" applyFont="1" applyFill="1" applyBorder="1"/>
    <xf numFmtId="44" fontId="6" fillId="3" borderId="11" xfId="0" applyNumberFormat="1" applyFont="1" applyFill="1" applyBorder="1" applyAlignment="1">
      <alignment horizontal="center" vertical="center"/>
    </xf>
    <xf numFmtId="44" fontId="6" fillId="3" borderId="7" xfId="0" applyNumberFormat="1" applyFont="1" applyFill="1" applyBorder="1"/>
    <xf numFmtId="0" fontId="6" fillId="2" borderId="23" xfId="0" applyFont="1" applyFill="1" applyBorder="1" applyAlignment="1">
      <alignment horizontal="center" vertical="center"/>
    </xf>
    <xf numFmtId="0" fontId="6" fillId="3" borderId="39" xfId="0" applyFont="1" applyFill="1" applyBorder="1" applyAlignment="1">
      <alignment horizontal="center" vertical="center"/>
    </xf>
    <xf numFmtId="10" fontId="6" fillId="2" borderId="21" xfId="0" applyNumberFormat="1" applyFont="1" applyFill="1" applyBorder="1"/>
    <xf numFmtId="44" fontId="6" fillId="3" borderId="9" xfId="0" applyNumberFormat="1" applyFont="1" applyFill="1" applyBorder="1" applyAlignment="1">
      <alignment horizontal="center" vertical="center"/>
    </xf>
    <xf numFmtId="44" fontId="7" fillId="3" borderId="19" xfId="0" applyNumberFormat="1" applyFont="1" applyFill="1" applyBorder="1"/>
    <xf numFmtId="44" fontId="7" fillId="3" borderId="10" xfId="0" applyNumberFormat="1" applyFont="1" applyFill="1" applyBorder="1"/>
    <xf numFmtId="0" fontId="7" fillId="3" borderId="6" xfId="0" applyFont="1" applyFill="1" applyBorder="1"/>
    <xf numFmtId="44" fontId="7" fillId="3" borderId="3" xfId="0" applyNumberFormat="1" applyFont="1" applyFill="1" applyBorder="1"/>
    <xf numFmtId="44" fontId="7" fillId="3" borderId="46" xfId="0" applyNumberFormat="1" applyFont="1" applyFill="1" applyBorder="1"/>
    <xf numFmtId="44" fontId="7" fillId="3" borderId="0" xfId="0" applyNumberFormat="1" applyFont="1" applyFill="1"/>
    <xf numFmtId="44" fontId="7" fillId="3" borderId="40" xfId="0" applyNumberFormat="1" applyFont="1" applyFill="1" applyBorder="1"/>
    <xf numFmtId="44" fontId="7" fillId="3" borderId="41" xfId="0" applyNumberFormat="1" applyFont="1" applyFill="1" applyBorder="1"/>
    <xf numFmtId="44" fontId="7" fillId="3" borderId="4" xfId="0" applyNumberFormat="1" applyFont="1" applyFill="1" applyBorder="1"/>
    <xf numFmtId="0" fontId="6" fillId="6" borderId="2" xfId="0" applyFont="1" applyFill="1" applyBorder="1"/>
    <xf numFmtId="0" fontId="6" fillId="6" borderId="20" xfId="0" applyFont="1" applyFill="1" applyBorder="1"/>
    <xf numFmtId="0" fontId="6" fillId="3" borderId="11" xfId="0" applyFont="1" applyFill="1" applyBorder="1"/>
    <xf numFmtId="0" fontId="6" fillId="3" borderId="39" xfId="0" applyFont="1" applyFill="1" applyBorder="1"/>
    <xf numFmtId="0" fontId="6" fillId="3" borderId="36" xfId="0" applyFont="1" applyFill="1" applyBorder="1"/>
    <xf numFmtId="0" fontId="6" fillId="3" borderId="9" xfId="0" applyFont="1" applyFill="1" applyBorder="1"/>
    <xf numFmtId="0" fontId="6" fillId="6" borderId="7" xfId="0" applyFont="1" applyFill="1" applyBorder="1"/>
    <xf numFmtId="0" fontId="6" fillId="6" borderId="24" xfId="0" applyFont="1" applyFill="1" applyBorder="1"/>
    <xf numFmtId="10" fontId="6" fillId="3" borderId="0" xfId="2" applyNumberFormat="1" applyFont="1" applyFill="1"/>
    <xf numFmtId="44" fontId="6" fillId="3" borderId="21" xfId="0" applyNumberFormat="1" applyFont="1" applyFill="1" applyBorder="1"/>
    <xf numFmtId="44" fontId="6" fillId="3" borderId="12" xfId="0" applyNumberFormat="1" applyFont="1" applyFill="1" applyBorder="1"/>
    <xf numFmtId="44" fontId="6" fillId="3" borderId="5" xfId="0" applyNumberFormat="1" applyFont="1" applyFill="1" applyBorder="1"/>
    <xf numFmtId="44" fontId="6" fillId="3" borderId="41" xfId="0" applyNumberFormat="1" applyFont="1" applyFill="1" applyBorder="1"/>
    <xf numFmtId="44" fontId="6" fillId="2" borderId="40" xfId="0" applyNumberFormat="1" applyFont="1" applyFill="1" applyBorder="1"/>
    <xf numFmtId="44" fontId="6" fillId="3" borderId="22" xfId="0" applyNumberFormat="1" applyFont="1" applyFill="1" applyBorder="1"/>
    <xf numFmtId="10" fontId="12" fillId="2" borderId="21" xfId="0" applyNumberFormat="1" applyFont="1" applyFill="1" applyBorder="1"/>
    <xf numFmtId="44" fontId="6" fillId="3" borderId="6" xfId="0" applyNumberFormat="1" applyFont="1" applyFill="1" applyBorder="1"/>
    <xf numFmtId="0" fontId="6" fillId="6" borderId="5" xfId="0" applyFont="1" applyFill="1" applyBorder="1"/>
    <xf numFmtId="0" fontId="6" fillId="6" borderId="22" xfId="0" applyFont="1" applyFill="1" applyBorder="1"/>
    <xf numFmtId="0" fontId="12" fillId="3" borderId="5" xfId="0" applyFont="1" applyFill="1" applyBorder="1"/>
    <xf numFmtId="10" fontId="8" fillId="3" borderId="21" xfId="0" applyNumberFormat="1" applyFont="1" applyFill="1" applyBorder="1"/>
    <xf numFmtId="10" fontId="8" fillId="3" borderId="0" xfId="0" applyNumberFormat="1" applyFont="1" applyFill="1"/>
    <xf numFmtId="10" fontId="12" fillId="3" borderId="21" xfId="0" applyNumberFormat="1" applyFont="1" applyFill="1" applyBorder="1"/>
    <xf numFmtId="44" fontId="6" fillId="3" borderId="11" xfId="0" applyNumberFormat="1" applyFont="1" applyFill="1" applyBorder="1"/>
    <xf numFmtId="44" fontId="6" fillId="3" borderId="39" xfId="0" applyNumberFormat="1" applyFont="1" applyFill="1" applyBorder="1"/>
    <xf numFmtId="44" fontId="6" fillId="3" borderId="24" xfId="0" applyNumberFormat="1" applyFont="1" applyFill="1" applyBorder="1"/>
    <xf numFmtId="44" fontId="6" fillId="3" borderId="9" xfId="0" applyNumberFormat="1" applyFont="1" applyFill="1" applyBorder="1"/>
    <xf numFmtId="44" fontId="7" fillId="3" borderId="21" xfId="0" applyNumberFormat="1" applyFont="1" applyFill="1" applyBorder="1"/>
    <xf numFmtId="44" fontId="7" fillId="3" borderId="12" xfId="0" applyNumberFormat="1" applyFont="1" applyFill="1" applyBorder="1"/>
    <xf numFmtId="44" fontId="7" fillId="3" borderId="2" xfId="0" applyNumberFormat="1" applyFont="1" applyFill="1" applyBorder="1"/>
    <xf numFmtId="44" fontId="7" fillId="3" borderId="37" xfId="0" applyNumberFormat="1" applyFont="1" applyFill="1" applyBorder="1"/>
    <xf numFmtId="44" fontId="7" fillId="3" borderId="22" xfId="0" applyNumberFormat="1" applyFont="1" applyFill="1" applyBorder="1"/>
    <xf numFmtId="44" fontId="7" fillId="3" borderId="6" xfId="0" applyNumberFormat="1" applyFont="1" applyFill="1" applyBorder="1"/>
    <xf numFmtId="44" fontId="6" fillId="3" borderId="40" xfId="0" applyNumberFormat="1" applyFont="1" applyFill="1" applyBorder="1"/>
    <xf numFmtId="10" fontId="6" fillId="3" borderId="21" xfId="0" applyNumberFormat="1" applyFont="1" applyFill="1" applyBorder="1"/>
    <xf numFmtId="44" fontId="7" fillId="3" borderId="25" xfId="0" applyNumberFormat="1" applyFont="1" applyFill="1" applyBorder="1"/>
    <xf numFmtId="44" fontId="7" fillId="3" borderId="15" xfId="0" applyNumberFormat="1" applyFont="1" applyFill="1" applyBorder="1"/>
    <xf numFmtId="44" fontId="7" fillId="3" borderId="13" xfId="0" applyNumberFormat="1" applyFont="1" applyFill="1" applyBorder="1"/>
    <xf numFmtId="44" fontId="7" fillId="3" borderId="42" xfId="0" applyNumberFormat="1" applyFont="1" applyFill="1" applyBorder="1"/>
    <xf numFmtId="44" fontId="7" fillId="3" borderId="26" xfId="0" applyNumberFormat="1" applyFont="1" applyFill="1" applyBorder="1"/>
    <xf numFmtId="0" fontId="6" fillId="3" borderId="25" xfId="0" applyFont="1" applyFill="1" applyBorder="1"/>
    <xf numFmtId="0" fontId="6" fillId="3" borderId="26" xfId="0" applyFont="1" applyFill="1" applyBorder="1"/>
    <xf numFmtId="0" fontId="6" fillId="3" borderId="12" xfId="0" applyFont="1" applyFill="1" applyBorder="1"/>
    <xf numFmtId="0" fontId="6" fillId="3" borderId="41" xfId="0" applyFont="1" applyFill="1" applyBorder="1"/>
    <xf numFmtId="0" fontId="6" fillId="3" borderId="40" xfId="0" applyFont="1" applyFill="1" applyBorder="1"/>
    <xf numFmtId="44" fontId="6" fillId="2" borderId="6" xfId="0" applyNumberFormat="1" applyFont="1" applyFill="1" applyBorder="1"/>
    <xf numFmtId="0" fontId="6" fillId="6" borderId="13" xfId="0" applyFont="1" applyFill="1" applyBorder="1"/>
    <xf numFmtId="0" fontId="6" fillId="6" borderId="26" xfId="0" applyFont="1" applyFill="1" applyBorder="1"/>
    <xf numFmtId="0" fontId="7" fillId="6" borderId="13" xfId="0" applyFont="1" applyFill="1" applyBorder="1"/>
    <xf numFmtId="0" fontId="6" fillId="6" borderId="14" xfId="0" applyFont="1" applyFill="1" applyBorder="1"/>
    <xf numFmtId="44" fontId="7" fillId="6" borderId="25" xfId="0" applyNumberFormat="1" applyFont="1" applyFill="1" applyBorder="1"/>
    <xf numFmtId="44" fontId="7" fillId="6" borderId="15" xfId="0" applyNumberFormat="1" applyFont="1" applyFill="1" applyBorder="1"/>
    <xf numFmtId="44" fontId="7" fillId="6" borderId="14" xfId="0" applyNumberFormat="1" applyFont="1" applyFill="1" applyBorder="1"/>
    <xf numFmtId="44" fontId="7" fillId="6" borderId="13" xfId="0" applyNumberFormat="1" applyFont="1" applyFill="1" applyBorder="1"/>
    <xf numFmtId="44" fontId="7" fillId="6" borderId="37" xfId="0" applyNumberFormat="1" applyFont="1" applyFill="1" applyBorder="1"/>
    <xf numFmtId="44" fontId="7" fillId="6" borderId="42" xfId="0" applyNumberFormat="1" applyFont="1" applyFill="1" applyBorder="1"/>
    <xf numFmtId="44" fontId="7" fillId="6" borderId="1" xfId="0" applyNumberFormat="1" applyFont="1" applyFill="1" applyBorder="1"/>
    <xf numFmtId="0" fontId="6" fillId="3" borderId="37" xfId="0" applyFont="1" applyFill="1" applyBorder="1"/>
    <xf numFmtId="0" fontId="6" fillId="3" borderId="42" xfId="0" applyFont="1" applyFill="1" applyBorder="1"/>
    <xf numFmtId="0" fontId="6" fillId="3" borderId="15" xfId="0" applyFont="1" applyFill="1" applyBorder="1"/>
    <xf numFmtId="44" fontId="6" fillId="19" borderId="21" xfId="0" applyNumberFormat="1" applyFont="1" applyFill="1" applyBorder="1"/>
    <xf numFmtId="44" fontId="6" fillId="19" borderId="12" xfId="0" applyNumberFormat="1" applyFont="1" applyFill="1" applyBorder="1"/>
    <xf numFmtId="44" fontId="6" fillId="19" borderId="0" xfId="0" applyNumberFormat="1" applyFont="1" applyFill="1"/>
    <xf numFmtId="44" fontId="6" fillId="19" borderId="5" xfId="0" applyNumberFormat="1" applyFont="1" applyFill="1" applyBorder="1"/>
    <xf numFmtId="0" fontId="7" fillId="3" borderId="34" xfId="0" applyFont="1" applyFill="1" applyBorder="1"/>
    <xf numFmtId="0" fontId="7" fillId="3" borderId="25" xfId="0" applyFont="1" applyFill="1" applyBorder="1"/>
    <xf numFmtId="44" fontId="7" fillId="3" borderId="14" xfId="1" applyFont="1" applyFill="1" applyBorder="1"/>
    <xf numFmtId="44" fontId="6" fillId="3" borderId="46" xfId="0" applyNumberFormat="1" applyFont="1" applyFill="1" applyBorder="1"/>
    <xf numFmtId="44" fontId="6" fillId="3" borderId="0" xfId="1" applyFont="1" applyFill="1" applyBorder="1"/>
    <xf numFmtId="10" fontId="6" fillId="2" borderId="0" xfId="0" applyNumberFormat="1" applyFont="1" applyFill="1"/>
    <xf numFmtId="44" fontId="7" fillId="3" borderId="14" xfId="0" applyNumberFormat="1" applyFont="1" applyFill="1" applyBorder="1" applyAlignment="1">
      <alignment horizontal="center"/>
    </xf>
    <xf numFmtId="10" fontId="7" fillId="3" borderId="21" xfId="0" applyNumberFormat="1" applyFont="1" applyFill="1" applyBorder="1" applyAlignment="1">
      <alignment horizontal="center" vertical="center"/>
    </xf>
    <xf numFmtId="44" fontId="7" fillId="3" borderId="12" xfId="0" applyNumberFormat="1" applyFont="1" applyFill="1" applyBorder="1" applyAlignment="1">
      <alignment horizontal="center"/>
    </xf>
    <xf numFmtId="0" fontId="7" fillId="3" borderId="6" xfId="0" applyFont="1" applyFill="1" applyBorder="1" applyAlignment="1">
      <alignment horizontal="center"/>
    </xf>
    <xf numFmtId="10" fontId="7" fillId="3" borderId="0" xfId="0" applyNumberFormat="1" applyFont="1" applyFill="1" applyAlignment="1">
      <alignment horizontal="center"/>
    </xf>
    <xf numFmtId="44" fontId="7" fillId="3" borderId="0" xfId="0" applyNumberFormat="1" applyFont="1" applyFill="1" applyAlignment="1">
      <alignment horizontal="center"/>
    </xf>
    <xf numFmtId="44" fontId="7" fillId="3" borderId="6" xfId="0" applyNumberFormat="1" applyFont="1" applyFill="1" applyBorder="1" applyAlignment="1">
      <alignment horizontal="center"/>
    </xf>
    <xf numFmtId="10" fontId="7" fillId="3" borderId="5" xfId="0" applyNumberFormat="1" applyFont="1" applyFill="1" applyBorder="1" applyAlignment="1">
      <alignment horizontal="center"/>
    </xf>
    <xf numFmtId="44" fontId="7" fillId="3" borderId="46" xfId="0" applyNumberFormat="1" applyFont="1" applyFill="1" applyBorder="1" applyAlignment="1">
      <alignment horizontal="center"/>
    </xf>
    <xf numFmtId="10" fontId="7" fillId="3" borderId="40" xfId="2" applyNumberFormat="1" applyFont="1" applyFill="1" applyBorder="1" applyAlignment="1">
      <alignment horizontal="center"/>
    </xf>
    <xf numFmtId="44" fontId="7" fillId="3" borderId="41" xfId="0" applyNumberFormat="1" applyFont="1" applyFill="1" applyBorder="1" applyAlignment="1">
      <alignment horizontal="center"/>
    </xf>
    <xf numFmtId="10" fontId="7" fillId="3" borderId="6" xfId="0" applyNumberFormat="1" applyFont="1" applyFill="1" applyBorder="1" applyAlignment="1">
      <alignment horizontal="center"/>
    </xf>
    <xf numFmtId="10" fontId="7" fillId="3" borderId="21" xfId="0" applyNumberFormat="1" applyFont="1" applyFill="1" applyBorder="1" applyAlignment="1">
      <alignment horizontal="center"/>
    </xf>
    <xf numFmtId="44" fontId="6" fillId="3" borderId="12" xfId="0" applyNumberFormat="1" applyFont="1" applyFill="1" applyBorder="1" applyAlignment="1">
      <alignment horizontal="center"/>
    </xf>
    <xf numFmtId="0" fontId="6" fillId="3" borderId="6" xfId="0" applyFont="1" applyFill="1" applyBorder="1" applyAlignment="1">
      <alignment horizontal="center"/>
    </xf>
    <xf numFmtId="10" fontId="7" fillId="3" borderId="40" xfId="0" applyNumberFormat="1" applyFont="1" applyFill="1" applyBorder="1" applyAlignment="1">
      <alignment horizontal="center"/>
    </xf>
    <xf numFmtId="44" fontId="7" fillId="3" borderId="39" xfId="0" applyNumberFormat="1" applyFont="1" applyFill="1" applyBorder="1"/>
    <xf numFmtId="44" fontId="7" fillId="6" borderId="27" xfId="0" applyNumberFormat="1" applyFont="1" applyFill="1" applyBorder="1"/>
    <xf numFmtId="44" fontId="7" fillId="6" borderId="28" xfId="0" applyNumberFormat="1" applyFont="1" applyFill="1" applyBorder="1"/>
    <xf numFmtId="0" fontId="6" fillId="3" borderId="62" xfId="0" applyFont="1" applyFill="1" applyBorder="1"/>
    <xf numFmtId="44" fontId="7" fillId="6" borderId="29" xfId="0" applyNumberFormat="1" applyFont="1" applyFill="1" applyBorder="1"/>
    <xf numFmtId="44" fontId="7" fillId="6" borderId="30" xfId="0" applyNumberFormat="1" applyFont="1" applyFill="1" applyBorder="1"/>
    <xf numFmtId="44" fontId="7" fillId="3" borderId="44" xfId="0" applyNumberFormat="1" applyFont="1" applyFill="1" applyBorder="1"/>
    <xf numFmtId="44" fontId="7" fillId="6" borderId="43" xfId="0" applyNumberFormat="1" applyFont="1" applyFill="1" applyBorder="1"/>
    <xf numFmtId="44" fontId="7" fillId="6" borderId="44" xfId="0" applyNumberFormat="1" applyFont="1" applyFill="1" applyBorder="1"/>
    <xf numFmtId="0" fontId="6" fillId="3" borderId="27" xfId="0" applyFont="1" applyFill="1" applyBorder="1"/>
    <xf numFmtId="44" fontId="7" fillId="6" borderId="35" xfId="0" applyNumberFormat="1" applyFont="1" applyFill="1" applyBorder="1"/>
    <xf numFmtId="0" fontId="6" fillId="3" borderId="48" xfId="0" applyFont="1" applyFill="1" applyBorder="1"/>
    <xf numFmtId="0" fontId="6" fillId="3" borderId="38" xfId="0" applyFont="1" applyFill="1" applyBorder="1"/>
    <xf numFmtId="0" fontId="11" fillId="23" borderId="85" xfId="0" applyFont="1" applyFill="1" applyBorder="1" applyAlignment="1">
      <alignment horizontal="center" vertical="center"/>
    </xf>
    <xf numFmtId="165" fontId="11" fillId="18" borderId="54" xfId="0" applyNumberFormat="1" applyFont="1" applyFill="1" applyBorder="1" applyAlignment="1">
      <alignment horizontal="center" vertical="center"/>
    </xf>
    <xf numFmtId="0" fontId="11" fillId="18" borderId="53" xfId="0" applyFont="1" applyFill="1" applyBorder="1" applyAlignment="1">
      <alignment horizontal="center" vertical="center"/>
    </xf>
    <xf numFmtId="0" fontId="11" fillId="18" borderId="50" xfId="0" applyFont="1" applyFill="1" applyBorder="1" applyAlignment="1">
      <alignment horizontal="center" vertical="center"/>
    </xf>
    <xf numFmtId="0" fontId="11" fillId="18" borderId="52" xfId="0" applyFont="1" applyFill="1" applyBorder="1" applyAlignment="1">
      <alignment horizontal="center" vertical="center"/>
    </xf>
    <xf numFmtId="0" fontId="11" fillId="2" borderId="52" xfId="0" applyFont="1" applyFill="1" applyBorder="1"/>
    <xf numFmtId="0" fontId="24" fillId="10" borderId="1" xfId="3" applyFont="1" applyFill="1" applyBorder="1" applyAlignment="1">
      <alignment horizontal="center" vertical="center"/>
    </xf>
    <xf numFmtId="1" fontId="24" fillId="10" borderId="1" xfId="3" applyNumberFormat="1" applyFont="1" applyFill="1" applyBorder="1" applyAlignment="1">
      <alignment horizontal="center" vertical="center"/>
    </xf>
    <xf numFmtId="44" fontId="11" fillId="0" borderId="57" xfId="1" applyFont="1" applyFill="1" applyBorder="1" applyAlignment="1">
      <alignment horizontal="center" vertical="center"/>
    </xf>
    <xf numFmtId="44" fontId="11" fillId="0" borderId="50" xfId="1" applyFont="1" applyFill="1" applyBorder="1" applyAlignment="1">
      <alignment horizontal="center" vertical="center"/>
    </xf>
    <xf numFmtId="44" fontId="11" fillId="0" borderId="56" xfId="1" applyFont="1" applyFill="1" applyBorder="1" applyAlignment="1">
      <alignment horizontal="center"/>
    </xf>
    <xf numFmtId="44" fontId="11" fillId="0" borderId="55" xfId="1" applyFont="1" applyFill="1" applyBorder="1" applyAlignment="1">
      <alignment horizontal="center" vertical="center"/>
    </xf>
    <xf numFmtId="44" fontId="11" fillId="0" borderId="53" xfId="1" applyFont="1" applyFill="1" applyBorder="1" applyAlignment="1">
      <alignment horizontal="center" vertical="center"/>
    </xf>
    <xf numFmtId="44" fontId="11" fillId="0" borderId="84" xfId="1" applyFont="1" applyFill="1" applyBorder="1" applyAlignment="1">
      <alignment horizontal="center"/>
    </xf>
    <xf numFmtId="44" fontId="11" fillId="2" borderId="52" xfId="1" applyFont="1" applyFill="1" applyBorder="1"/>
    <xf numFmtId="0" fontId="11" fillId="2" borderId="86" xfId="0" applyFont="1" applyFill="1" applyBorder="1" applyAlignment="1">
      <alignment horizontal="left" vertical="center" indent="2"/>
    </xf>
    <xf numFmtId="0" fontId="11" fillId="18" borderId="87" xfId="4" applyFont="1" applyFill="1" applyBorder="1" applyAlignment="1">
      <alignment horizontal="left" vertical="center" indent="2"/>
    </xf>
    <xf numFmtId="0" fontId="11" fillId="18" borderId="86" xfId="4" applyFont="1" applyFill="1" applyBorder="1" applyAlignment="1">
      <alignment horizontal="left" vertical="center" indent="2"/>
    </xf>
    <xf numFmtId="0" fontId="11" fillId="18" borderId="86" xfId="4" applyFont="1" applyFill="1" applyBorder="1" applyAlignment="1">
      <alignment horizontal="left" vertical="center" wrapText="1" indent="2"/>
    </xf>
    <xf numFmtId="0" fontId="11" fillId="26" borderId="86" xfId="4" applyFont="1" applyFill="1" applyBorder="1" applyAlignment="1">
      <alignment horizontal="left" vertical="center" indent="2"/>
    </xf>
    <xf numFmtId="0" fontId="11" fillId="27" borderId="86" xfId="4" applyFont="1" applyFill="1" applyBorder="1" applyAlignment="1">
      <alignment horizontal="left" vertical="center" indent="2"/>
    </xf>
    <xf numFmtId="0" fontId="11" fillId="23" borderId="86" xfId="0" applyFont="1" applyFill="1" applyBorder="1" applyAlignment="1">
      <alignment horizontal="left" vertical="center" indent="2"/>
    </xf>
    <xf numFmtId="0" fontId="19" fillId="11" borderId="2" xfId="0" applyFont="1" applyFill="1" applyBorder="1" applyAlignment="1">
      <alignment horizontal="center" vertical="center"/>
    </xf>
    <xf numFmtId="0" fontId="19" fillId="11" borderId="3" xfId="0" applyFont="1" applyFill="1" applyBorder="1" applyAlignment="1">
      <alignment horizontal="center" vertical="center"/>
    </xf>
    <xf numFmtId="2" fontId="20" fillId="11" borderId="88" xfId="0" applyNumberFormat="1" applyFont="1" applyFill="1" applyBorder="1" applyAlignment="1">
      <alignment horizontal="center" vertical="center"/>
    </xf>
    <xf numFmtId="0" fontId="10" fillId="15" borderId="15" xfId="0" applyFont="1" applyFill="1" applyBorder="1" applyAlignment="1">
      <alignment horizontal="center"/>
    </xf>
    <xf numFmtId="0" fontId="11" fillId="2" borderId="87" xfId="0" applyFont="1" applyFill="1" applyBorder="1" applyAlignment="1">
      <alignment horizontal="center" vertical="center"/>
    </xf>
    <xf numFmtId="0" fontId="11" fillId="3" borderId="11" xfId="0" applyFont="1" applyFill="1" applyBorder="1" applyAlignment="1">
      <alignment horizontal="right" vertical="center"/>
    </xf>
    <xf numFmtId="0" fontId="11" fillId="18" borderId="87" xfId="4" applyFont="1" applyFill="1" applyBorder="1" applyAlignment="1">
      <alignment horizontal="center" vertical="center"/>
    </xf>
    <xf numFmtId="0" fontId="11" fillId="3" borderId="15" xfId="0" applyFont="1" applyFill="1" applyBorder="1"/>
    <xf numFmtId="0" fontId="11" fillId="18" borderId="87" xfId="4" applyFont="1" applyFill="1" applyBorder="1" applyAlignment="1">
      <alignment horizontal="center" vertical="center" wrapText="1"/>
    </xf>
    <xf numFmtId="0" fontId="11" fillId="26" borderId="87" xfId="4" applyFont="1" applyFill="1" applyBorder="1" applyAlignment="1">
      <alignment horizontal="center" vertical="center"/>
    </xf>
    <xf numFmtId="0" fontId="11" fillId="27" borderId="87" xfId="4" applyFont="1" applyFill="1" applyBorder="1" applyAlignment="1">
      <alignment horizontal="center" vertical="center"/>
    </xf>
    <xf numFmtId="0" fontId="11" fillId="23" borderId="87" xfId="0" applyFont="1" applyFill="1" applyBorder="1" applyAlignment="1">
      <alignment horizontal="center" vertical="center"/>
    </xf>
    <xf numFmtId="0" fontId="24" fillId="24" borderId="89" xfId="0" applyFont="1" applyFill="1" applyBorder="1" applyAlignment="1">
      <alignment horizontal="center" vertical="center"/>
    </xf>
    <xf numFmtId="0" fontId="24" fillId="24" borderId="90" xfId="0" applyFont="1" applyFill="1" applyBorder="1" applyAlignment="1">
      <alignment horizontal="left" vertical="center" indent="2"/>
    </xf>
    <xf numFmtId="0" fontId="24" fillId="25" borderId="91" xfId="0" applyFont="1" applyFill="1" applyBorder="1" applyAlignment="1">
      <alignment horizontal="center" vertical="center"/>
    </xf>
    <xf numFmtId="44" fontId="24" fillId="25" borderId="91" xfId="1" applyFont="1" applyFill="1" applyBorder="1" applyAlignment="1">
      <alignment horizontal="center" vertical="center"/>
    </xf>
    <xf numFmtId="0" fontId="11" fillId="17" borderId="15" xfId="0" applyFont="1" applyFill="1" applyBorder="1"/>
    <xf numFmtId="44" fontId="11" fillId="0" borderId="51" xfId="1" applyFont="1" applyFill="1" applyBorder="1" applyAlignment="1">
      <alignment horizontal="center" vertical="center"/>
    </xf>
    <xf numFmtId="44" fontId="11" fillId="0" borderId="92" xfId="1" applyFont="1" applyFill="1" applyBorder="1" applyAlignment="1">
      <alignment horizontal="center"/>
    </xf>
    <xf numFmtId="44" fontId="11" fillId="0" borderId="93" xfId="1" applyFont="1" applyFill="1" applyBorder="1" applyAlignment="1">
      <alignment horizontal="center" vertical="center"/>
    </xf>
    <xf numFmtId="44" fontId="11" fillId="0" borderId="0" xfId="1" applyFont="1" applyFill="1" applyBorder="1" applyAlignment="1">
      <alignment horizontal="center"/>
    </xf>
    <xf numFmtId="44" fontId="24" fillId="25" borderId="94" xfId="1" applyFont="1" applyFill="1" applyBorder="1" applyAlignment="1">
      <alignment horizontal="center" vertical="center"/>
    </xf>
    <xf numFmtId="44" fontId="24" fillId="25" borderId="58" xfId="0" applyNumberFormat="1" applyFont="1" applyFill="1" applyBorder="1" applyAlignment="1">
      <alignment horizontal="center" vertical="center"/>
    </xf>
    <xf numFmtId="44" fontId="24" fillId="25" borderId="58" xfId="1" applyFont="1" applyFill="1" applyBorder="1" applyAlignment="1">
      <alignment horizontal="center" vertical="center"/>
    </xf>
    <xf numFmtId="1" fontId="10" fillId="4" borderId="1" xfId="0" applyNumberFormat="1" applyFont="1" applyFill="1" applyBorder="1" applyAlignment="1">
      <alignment horizontal="center"/>
    </xf>
    <xf numFmtId="44" fontId="6" fillId="3" borderId="1" xfId="1" applyFont="1" applyFill="1" applyBorder="1" applyAlignment="1">
      <alignment horizontal="left"/>
    </xf>
    <xf numFmtId="0" fontId="21" fillId="3" borderId="0" xfId="0" applyFont="1" applyFill="1"/>
    <xf numFmtId="0" fontId="7" fillId="3" borderId="8" xfId="0" applyFont="1" applyFill="1" applyBorder="1"/>
    <xf numFmtId="44" fontId="11" fillId="2" borderId="15" xfId="1" applyFont="1" applyFill="1" applyBorder="1" applyAlignment="1">
      <alignment horizontal="center"/>
    </xf>
    <xf numFmtId="44" fontId="7" fillId="3" borderId="8" xfId="0" applyNumberFormat="1" applyFont="1" applyFill="1" applyBorder="1"/>
    <xf numFmtId="174" fontId="7" fillId="0" borderId="1" xfId="0" applyNumberFormat="1" applyFont="1" applyBorder="1" applyAlignment="1">
      <alignment horizontal="center"/>
    </xf>
    <xf numFmtId="174" fontId="6" fillId="3" borderId="0" xfId="0" applyNumberFormat="1" applyFont="1" applyFill="1" applyAlignment="1">
      <alignment horizontal="center" vertical="center"/>
    </xf>
    <xf numFmtId="174" fontId="6" fillId="6" borderId="64" xfId="0" applyNumberFormat="1" applyFont="1" applyFill="1" applyBorder="1" applyAlignment="1">
      <alignment horizontal="center" vertical="center"/>
    </xf>
    <xf numFmtId="172" fontId="6" fillId="3" borderId="0" xfId="0" applyNumberFormat="1" applyFont="1" applyFill="1" applyAlignment="1">
      <alignment horizontal="center" vertical="center"/>
    </xf>
    <xf numFmtId="44" fontId="24" fillId="2" borderId="3" xfId="1" applyFont="1" applyFill="1" applyBorder="1"/>
    <xf numFmtId="9" fontId="11" fillId="2" borderId="3" xfId="1" applyNumberFormat="1" applyFont="1" applyFill="1" applyBorder="1"/>
    <xf numFmtId="44" fontId="6" fillId="0" borderId="0" xfId="2" applyNumberFormat="1" applyFont="1" applyFill="1" applyBorder="1"/>
    <xf numFmtId="167" fontId="6" fillId="2" borderId="14" xfId="1" applyNumberFormat="1" applyFont="1" applyFill="1" applyBorder="1"/>
    <xf numFmtId="175" fontId="10" fillId="7" borderId="0" xfId="0" applyNumberFormat="1" applyFont="1" applyFill="1" applyAlignment="1">
      <alignment horizontal="center"/>
    </xf>
    <xf numFmtId="0" fontId="19" fillId="28" borderId="2" xfId="0" applyFont="1" applyFill="1" applyBorder="1" applyAlignment="1">
      <alignment horizontal="center" vertical="center"/>
    </xf>
    <xf numFmtId="0" fontId="19" fillId="28" borderId="3" xfId="0" applyFont="1" applyFill="1" applyBorder="1" applyAlignment="1">
      <alignment horizontal="center" vertical="center"/>
    </xf>
    <xf numFmtId="2" fontId="20" fillId="28" borderId="88" xfId="0" applyNumberFormat="1" applyFont="1" applyFill="1" applyBorder="1" applyAlignment="1">
      <alignment horizontal="center" vertical="center"/>
    </xf>
    <xf numFmtId="0" fontId="10" fillId="7" borderId="15" xfId="0" applyFont="1" applyFill="1" applyBorder="1" applyAlignment="1">
      <alignment horizontal="center"/>
    </xf>
    <xf numFmtId="0" fontId="5" fillId="3" borderId="1" xfId="0" applyFont="1" applyFill="1" applyBorder="1" applyAlignment="1">
      <alignment horizontal="center"/>
    </xf>
    <xf numFmtId="0" fontId="26" fillId="3" borderId="0" xfId="0" applyFont="1" applyFill="1"/>
    <xf numFmtId="0" fontId="5" fillId="2" borderId="1" xfId="0" applyFont="1" applyFill="1" applyBorder="1" applyAlignment="1">
      <alignment horizontal="center"/>
    </xf>
    <xf numFmtId="0" fontId="5" fillId="3" borderId="4" xfId="0" applyFont="1" applyFill="1" applyBorder="1" applyAlignment="1">
      <alignment horizontal="center"/>
    </xf>
    <xf numFmtId="44" fontId="26" fillId="3" borderId="0" xfId="0" applyNumberFormat="1" applyFont="1" applyFill="1"/>
    <xf numFmtId="1" fontId="5" fillId="0" borderId="1" xfId="0" applyNumberFormat="1" applyFont="1" applyBorder="1" applyAlignment="1">
      <alignment horizontal="center"/>
    </xf>
    <xf numFmtId="0" fontId="5" fillId="3" borderId="0" xfId="0" applyFont="1" applyFill="1"/>
    <xf numFmtId="0" fontId="5" fillId="3" borderId="0" xfId="0" applyFont="1" applyFill="1" applyAlignment="1">
      <alignment horizontal="center"/>
    </xf>
    <xf numFmtId="0" fontId="27" fillId="3" borderId="0" xfId="0" applyFont="1" applyFill="1"/>
    <xf numFmtId="0" fontId="27" fillId="3" borderId="22" xfId="0" applyFont="1" applyFill="1" applyBorder="1"/>
    <xf numFmtId="0" fontId="26" fillId="3" borderId="2" xfId="0" applyFont="1" applyFill="1" applyBorder="1"/>
    <xf numFmtId="0" fontId="26" fillId="3" borderId="3" xfId="0" applyFont="1" applyFill="1" applyBorder="1"/>
    <xf numFmtId="0" fontId="26" fillId="3" borderId="22" xfId="0" applyFont="1" applyFill="1" applyBorder="1"/>
    <xf numFmtId="0" fontId="5" fillId="3" borderId="0" xfId="0" applyFont="1" applyFill="1" applyAlignment="1">
      <alignment horizontal="center" vertical="center"/>
    </xf>
    <xf numFmtId="0" fontId="5" fillId="3" borderId="22" xfId="0" applyFont="1" applyFill="1" applyBorder="1" applyAlignment="1">
      <alignment horizontal="center" vertical="center"/>
    </xf>
    <xf numFmtId="0" fontId="26" fillId="3" borderId="5" xfId="0" applyFont="1" applyFill="1" applyBorder="1"/>
    <xf numFmtId="0" fontId="26" fillId="3" borderId="19" xfId="0" applyFont="1" applyFill="1" applyBorder="1"/>
    <xf numFmtId="0" fontId="26" fillId="3" borderId="7" xfId="0" applyFont="1" applyFill="1" applyBorder="1"/>
    <xf numFmtId="0" fontId="26" fillId="3" borderId="24" xfId="0" applyFont="1" applyFill="1" applyBorder="1"/>
    <xf numFmtId="0" fontId="26" fillId="3" borderId="23" xfId="0" applyFont="1" applyFill="1" applyBorder="1"/>
    <xf numFmtId="0" fontId="5" fillId="3" borderId="5" xfId="0" applyFont="1" applyFill="1" applyBorder="1"/>
    <xf numFmtId="44" fontId="26" fillId="3" borderId="19" xfId="0" applyNumberFormat="1" applyFont="1" applyFill="1" applyBorder="1"/>
    <xf numFmtId="44" fontId="26" fillId="3" borderId="10" xfId="0" applyNumberFormat="1" applyFont="1" applyFill="1" applyBorder="1" applyAlignment="1">
      <alignment horizontal="center" vertical="center"/>
    </xf>
    <xf numFmtId="44" fontId="26" fillId="3" borderId="2" xfId="0" applyNumberFormat="1" applyFont="1" applyFill="1" applyBorder="1"/>
    <xf numFmtId="44" fontId="26" fillId="3" borderId="20" xfId="0" applyNumberFormat="1" applyFont="1" applyFill="1" applyBorder="1" applyAlignment="1">
      <alignment horizontal="center" vertical="center"/>
    </xf>
    <xf numFmtId="0" fontId="26" fillId="3" borderId="21" xfId="0" applyFont="1" applyFill="1" applyBorder="1"/>
    <xf numFmtId="44" fontId="26" fillId="2" borderId="4" xfId="0" applyNumberFormat="1" applyFont="1" applyFill="1" applyBorder="1" applyAlignment="1">
      <alignment horizontal="center" vertical="center"/>
    </xf>
    <xf numFmtId="0" fontId="26" fillId="3" borderId="22" xfId="0" applyFont="1" applyFill="1" applyBorder="1" applyAlignment="1">
      <alignment horizontal="center" vertical="center"/>
    </xf>
    <xf numFmtId="44" fontId="26" fillId="3" borderId="23" xfId="0" applyNumberFormat="1" applyFont="1" applyFill="1" applyBorder="1"/>
    <xf numFmtId="44" fontId="26" fillId="3" borderId="11" xfId="0" applyNumberFormat="1" applyFont="1" applyFill="1" applyBorder="1" applyAlignment="1">
      <alignment horizontal="center" vertical="center"/>
    </xf>
    <xf numFmtId="44" fontId="26" fillId="3" borderId="7" xfId="0" applyNumberFormat="1" applyFont="1" applyFill="1" applyBorder="1"/>
    <xf numFmtId="44" fontId="26" fillId="3" borderId="24" xfId="0" applyNumberFormat="1" applyFont="1" applyFill="1" applyBorder="1" applyAlignment="1">
      <alignment horizontal="center" vertical="center"/>
    </xf>
    <xf numFmtId="10" fontId="5" fillId="2" borderId="21" xfId="0" applyNumberFormat="1" applyFont="1" applyFill="1" applyBorder="1" applyAlignment="1">
      <alignment horizontal="center"/>
    </xf>
    <xf numFmtId="44" fontId="26" fillId="3" borderId="9" xfId="0" applyNumberFormat="1" applyFont="1" applyFill="1" applyBorder="1" applyAlignment="1">
      <alignment horizontal="center" vertical="center"/>
    </xf>
    <xf numFmtId="0" fontId="5" fillId="3" borderId="2" xfId="0" applyFont="1" applyFill="1" applyBorder="1"/>
    <xf numFmtId="0" fontId="5" fillId="3" borderId="3" xfId="0" applyFont="1" applyFill="1" applyBorder="1"/>
    <xf numFmtId="44" fontId="5" fillId="3" borderId="19" xfId="0" applyNumberFormat="1" applyFont="1" applyFill="1" applyBorder="1"/>
    <xf numFmtId="44" fontId="5" fillId="3" borderId="10" xfId="0" applyNumberFormat="1" applyFont="1" applyFill="1" applyBorder="1"/>
    <xf numFmtId="44" fontId="5" fillId="3" borderId="2" xfId="0" applyNumberFormat="1" applyFont="1" applyFill="1" applyBorder="1"/>
    <xf numFmtId="44" fontId="5" fillId="3" borderId="20" xfId="0" applyNumberFormat="1" applyFont="1" applyFill="1" applyBorder="1"/>
    <xf numFmtId="44" fontId="5" fillId="3" borderId="4" xfId="0" applyNumberFormat="1" applyFont="1" applyFill="1" applyBorder="1"/>
    <xf numFmtId="0" fontId="26" fillId="6" borderId="3" xfId="0" applyFont="1" applyFill="1" applyBorder="1"/>
    <xf numFmtId="0" fontId="26" fillId="6" borderId="20" xfId="0" applyFont="1" applyFill="1" applyBorder="1"/>
    <xf numFmtId="0" fontId="26" fillId="3" borderId="8" xfId="0" applyFont="1" applyFill="1" applyBorder="1"/>
    <xf numFmtId="0" fontId="26" fillId="3" borderId="11" xfId="0" applyFont="1" applyFill="1" applyBorder="1"/>
    <xf numFmtId="0" fontId="26" fillId="3" borderId="9" xfId="0" applyFont="1" applyFill="1" applyBorder="1"/>
    <xf numFmtId="0" fontId="26" fillId="6" borderId="8" xfId="0" applyFont="1" applyFill="1" applyBorder="1"/>
    <xf numFmtId="0" fontId="26" fillId="6" borderId="24" xfId="0" applyFont="1" applyFill="1" applyBorder="1"/>
    <xf numFmtId="10" fontId="26" fillId="3" borderId="0" xfId="2" applyNumberFormat="1" applyFont="1" applyFill="1"/>
    <xf numFmtId="44" fontId="26" fillId="3" borderId="21" xfId="0" applyNumberFormat="1" applyFont="1" applyFill="1" applyBorder="1"/>
    <xf numFmtId="44" fontId="26" fillId="3" borderId="12" xfId="0" applyNumberFormat="1" applyFont="1" applyFill="1" applyBorder="1"/>
    <xf numFmtId="44" fontId="26" fillId="3" borderId="5" xfId="0" applyNumberFormat="1" applyFont="1" applyFill="1" applyBorder="1"/>
    <xf numFmtId="44" fontId="26" fillId="3" borderId="22" xfId="0" applyNumberFormat="1" applyFont="1" applyFill="1" applyBorder="1"/>
    <xf numFmtId="0" fontId="26" fillId="3" borderId="95" xfId="0" applyFont="1" applyFill="1" applyBorder="1"/>
    <xf numFmtId="44" fontId="26" fillId="3" borderId="6" xfId="0" applyNumberFormat="1" applyFont="1" applyFill="1" applyBorder="1"/>
    <xf numFmtId="0" fontId="26" fillId="6" borderId="0" xfId="0" applyFont="1" applyFill="1"/>
    <xf numFmtId="0" fontId="26" fillId="6" borderId="22" xfId="0" applyFont="1" applyFill="1" applyBorder="1"/>
    <xf numFmtId="0" fontId="28" fillId="3" borderId="5" xfId="0" applyFont="1" applyFill="1" applyBorder="1"/>
    <xf numFmtId="10" fontId="29" fillId="3" borderId="21" xfId="0" applyNumberFormat="1" applyFont="1" applyFill="1" applyBorder="1"/>
    <xf numFmtId="10" fontId="29" fillId="3" borderId="5" xfId="0" applyNumberFormat="1" applyFont="1" applyFill="1" applyBorder="1"/>
    <xf numFmtId="10" fontId="28" fillId="3" borderId="21" xfId="0" applyNumberFormat="1" applyFont="1" applyFill="1" applyBorder="1"/>
    <xf numFmtId="10" fontId="29" fillId="2" borderId="6" xfId="0" applyNumberFormat="1" applyFont="1" applyFill="1" applyBorder="1" applyAlignment="1">
      <alignment horizontal="center"/>
    </xf>
    <xf numFmtId="0" fontId="26" fillId="3" borderId="5" xfId="0" applyFont="1" applyFill="1" applyBorder="1" applyAlignment="1">
      <alignment vertical="center"/>
    </xf>
    <xf numFmtId="0" fontId="26" fillId="3" borderId="0" xfId="0" applyFont="1" applyFill="1" applyAlignment="1">
      <alignment vertical="center"/>
    </xf>
    <xf numFmtId="44" fontId="26" fillId="3" borderId="21" xfId="0" applyNumberFormat="1" applyFont="1" applyFill="1" applyBorder="1" applyAlignment="1">
      <alignment vertical="center"/>
    </xf>
    <xf numFmtId="44" fontId="26" fillId="3" borderId="12" xfId="0" applyNumberFormat="1" applyFont="1" applyFill="1" applyBorder="1" applyAlignment="1">
      <alignment vertical="center"/>
    </xf>
    <xf numFmtId="44" fontId="26" fillId="3" borderId="5" xfId="0" applyNumberFormat="1" applyFont="1" applyFill="1" applyBorder="1" applyAlignment="1">
      <alignment vertical="center"/>
    </xf>
    <xf numFmtId="44" fontId="26" fillId="3" borderId="22" xfId="0" applyNumberFormat="1" applyFont="1" applyFill="1" applyBorder="1" applyAlignment="1">
      <alignment vertical="center"/>
    </xf>
    <xf numFmtId="10" fontId="29" fillId="2" borderId="21" xfId="0" applyNumberFormat="1" applyFont="1" applyFill="1" applyBorder="1" applyAlignment="1">
      <alignment horizontal="center" vertical="center"/>
    </xf>
    <xf numFmtId="44" fontId="26" fillId="3" borderId="6" xfId="0" applyNumberFormat="1" applyFont="1" applyFill="1" applyBorder="1" applyAlignment="1">
      <alignment vertical="center"/>
    </xf>
    <xf numFmtId="0" fontId="26" fillId="6" borderId="22" xfId="0" applyFont="1" applyFill="1" applyBorder="1" applyAlignment="1">
      <alignment vertical="center"/>
    </xf>
    <xf numFmtId="10" fontId="29" fillId="2" borderId="21" xfId="0" applyNumberFormat="1" applyFont="1" applyFill="1" applyBorder="1" applyAlignment="1">
      <alignment horizontal="center"/>
    </xf>
    <xf numFmtId="44" fontId="26" fillId="3" borderId="11" xfId="0" applyNumberFormat="1" applyFont="1" applyFill="1" applyBorder="1"/>
    <xf numFmtId="44" fontId="26" fillId="3" borderId="24" xfId="0" applyNumberFormat="1" applyFont="1" applyFill="1" applyBorder="1"/>
    <xf numFmtId="10" fontId="29" fillId="2" borderId="23" xfId="0" applyNumberFormat="1" applyFont="1" applyFill="1" applyBorder="1" applyAlignment="1">
      <alignment horizontal="center"/>
    </xf>
    <xf numFmtId="44" fontId="26" fillId="3" borderId="9" xfId="0" applyNumberFormat="1" applyFont="1" applyFill="1" applyBorder="1"/>
    <xf numFmtId="44" fontId="5" fillId="3" borderId="21" xfId="0" applyNumberFormat="1" applyFont="1" applyFill="1" applyBorder="1"/>
    <xf numFmtId="44" fontId="5" fillId="3" borderId="12" xfId="0" applyNumberFormat="1" applyFont="1" applyFill="1" applyBorder="1"/>
    <xf numFmtId="44" fontId="5" fillId="3" borderId="22" xfId="0" applyNumberFormat="1" applyFont="1" applyFill="1" applyBorder="1"/>
    <xf numFmtId="10" fontId="26" fillId="3" borderId="21" xfId="0" applyNumberFormat="1" applyFont="1" applyFill="1" applyBorder="1"/>
    <xf numFmtId="0" fontId="5" fillId="3" borderId="13" xfId="0" applyFont="1" applyFill="1" applyBorder="1"/>
    <xf numFmtId="0" fontId="5" fillId="3" borderId="14" xfId="0" applyFont="1" applyFill="1" applyBorder="1"/>
    <xf numFmtId="44" fontId="5" fillId="3" borderId="25" xfId="0" applyNumberFormat="1" applyFont="1" applyFill="1" applyBorder="1"/>
    <xf numFmtId="44" fontId="5" fillId="3" borderId="15" xfId="0" applyNumberFormat="1" applyFont="1" applyFill="1" applyBorder="1"/>
    <xf numFmtId="44" fontId="5" fillId="3" borderId="13" xfId="0" applyNumberFormat="1" applyFont="1" applyFill="1" applyBorder="1"/>
    <xf numFmtId="44" fontId="5" fillId="3" borderId="26" xfId="0" applyNumberFormat="1" applyFont="1" applyFill="1" applyBorder="1"/>
    <xf numFmtId="0" fontId="26" fillId="3" borderId="25" xfId="0" applyFont="1" applyFill="1" applyBorder="1"/>
    <xf numFmtId="44" fontId="5" fillId="3" borderId="1" xfId="0" applyNumberFormat="1" applyFont="1" applyFill="1" applyBorder="1"/>
    <xf numFmtId="0" fontId="26" fillId="3" borderId="14" xfId="0" applyFont="1" applyFill="1" applyBorder="1"/>
    <xf numFmtId="0" fontId="26" fillId="3" borderId="26" xfId="0" applyFont="1" applyFill="1" applyBorder="1"/>
    <xf numFmtId="0" fontId="26" fillId="3" borderId="12" xfId="0" applyFont="1" applyFill="1" applyBorder="1"/>
    <xf numFmtId="44" fontId="26" fillId="2" borderId="6" xfId="0" applyNumberFormat="1" applyFont="1" applyFill="1" applyBorder="1"/>
    <xf numFmtId="0" fontId="30" fillId="6" borderId="22" xfId="0" applyFont="1" applyFill="1" applyBorder="1"/>
    <xf numFmtId="0" fontId="26" fillId="6" borderId="14" xfId="0" applyFont="1" applyFill="1" applyBorder="1"/>
    <xf numFmtId="44" fontId="26" fillId="6" borderId="26" xfId="0" applyNumberFormat="1" applyFont="1" applyFill="1" applyBorder="1"/>
    <xf numFmtId="0" fontId="26" fillId="3" borderId="6" xfId="0" applyFont="1" applyFill="1" applyBorder="1"/>
    <xf numFmtId="0" fontId="5" fillId="6" borderId="13" xfId="0" applyFont="1" applyFill="1" applyBorder="1"/>
    <xf numFmtId="44" fontId="5" fillId="6" borderId="25" xfId="0" applyNumberFormat="1" applyFont="1" applyFill="1" applyBorder="1"/>
    <xf numFmtId="44" fontId="5" fillId="6" borderId="15" xfId="0" applyNumberFormat="1" applyFont="1" applyFill="1" applyBorder="1"/>
    <xf numFmtId="44" fontId="5" fillId="6" borderId="13" xfId="0" applyNumberFormat="1" applyFont="1" applyFill="1" applyBorder="1"/>
    <xf numFmtId="44" fontId="5" fillId="6" borderId="26" xfId="0" applyNumberFormat="1" applyFont="1" applyFill="1" applyBorder="1"/>
    <xf numFmtId="44" fontId="5" fillId="6" borderId="1" xfId="0" applyNumberFormat="1" applyFont="1" applyFill="1" applyBorder="1"/>
    <xf numFmtId="44" fontId="26" fillId="3" borderId="26" xfId="0" applyNumberFormat="1" applyFont="1" applyFill="1" applyBorder="1"/>
    <xf numFmtId="0" fontId="26" fillId="3" borderId="15" xfId="0" applyFont="1" applyFill="1" applyBorder="1"/>
    <xf numFmtId="0" fontId="26" fillId="3" borderId="13" xfId="0" applyFont="1" applyFill="1" applyBorder="1"/>
    <xf numFmtId="0" fontId="26" fillId="3" borderId="1" xfId="0" applyFont="1" applyFill="1" applyBorder="1"/>
    <xf numFmtId="44" fontId="26" fillId="19" borderId="21" xfId="0" applyNumberFormat="1" applyFont="1" applyFill="1" applyBorder="1"/>
    <xf numFmtId="44" fontId="26" fillId="19" borderId="12" xfId="0" applyNumberFormat="1" applyFont="1" applyFill="1" applyBorder="1"/>
    <xf numFmtId="44" fontId="26" fillId="19" borderId="5" xfId="0" applyNumberFormat="1" applyFont="1" applyFill="1" applyBorder="1"/>
    <xf numFmtId="44" fontId="26" fillId="19" borderId="22" xfId="0" applyNumberFormat="1" applyFont="1" applyFill="1" applyBorder="1"/>
    <xf numFmtId="10" fontId="26" fillId="3" borderId="0" xfId="0" applyNumberFormat="1" applyFont="1" applyFill="1"/>
    <xf numFmtId="0" fontId="5" fillId="3" borderId="22" xfId="0" applyFont="1" applyFill="1" applyBorder="1"/>
    <xf numFmtId="0" fontId="5" fillId="3" borderId="25" xfId="0" applyFont="1" applyFill="1" applyBorder="1"/>
    <xf numFmtId="44" fontId="5" fillId="3" borderId="26" xfId="1" applyFont="1" applyFill="1" applyBorder="1"/>
    <xf numFmtId="0" fontId="5" fillId="6" borderId="14" xfId="0" applyFont="1" applyFill="1" applyBorder="1"/>
    <xf numFmtId="44" fontId="26" fillId="3" borderId="22" xfId="1" applyFont="1" applyFill="1" applyBorder="1"/>
    <xf numFmtId="176" fontId="26" fillId="3" borderId="0" xfId="0" applyNumberFormat="1" applyFont="1" applyFill="1"/>
    <xf numFmtId="10" fontId="26" fillId="2" borderId="22" xfId="0" applyNumberFormat="1" applyFont="1" applyFill="1" applyBorder="1" applyAlignment="1">
      <alignment horizontal="center"/>
    </xf>
    <xf numFmtId="44" fontId="5" fillId="3" borderId="26" xfId="0" applyNumberFormat="1" applyFont="1" applyFill="1" applyBorder="1" applyAlignment="1">
      <alignment horizontal="center"/>
    </xf>
    <xf numFmtId="0" fontId="26" fillId="6" borderId="26" xfId="0" applyFont="1" applyFill="1" applyBorder="1"/>
    <xf numFmtId="44" fontId="5" fillId="3" borderId="12" xfId="0" applyNumberFormat="1" applyFont="1" applyFill="1" applyBorder="1" applyAlignment="1">
      <alignment horizontal="center"/>
    </xf>
    <xf numFmtId="0" fontId="5" fillId="3" borderId="5" xfId="0" applyFont="1" applyFill="1" applyBorder="1" applyAlignment="1">
      <alignment horizontal="center"/>
    </xf>
    <xf numFmtId="10" fontId="5" fillId="3" borderId="5" xfId="0" applyNumberFormat="1" applyFont="1" applyFill="1" applyBorder="1" applyAlignment="1">
      <alignment horizontal="center"/>
    </xf>
    <xf numFmtId="44" fontId="5" fillId="3" borderId="22" xfId="0" applyNumberFormat="1" applyFont="1" applyFill="1" applyBorder="1" applyAlignment="1">
      <alignment horizontal="center"/>
    </xf>
    <xf numFmtId="10" fontId="5" fillId="3" borderId="6" xfId="0" applyNumberFormat="1" applyFont="1" applyFill="1" applyBorder="1" applyAlignment="1">
      <alignment horizontal="center"/>
    </xf>
    <xf numFmtId="10" fontId="5" fillId="3" borderId="21" xfId="0" applyNumberFormat="1" applyFont="1" applyFill="1" applyBorder="1" applyAlignment="1">
      <alignment horizontal="center"/>
    </xf>
    <xf numFmtId="44" fontId="26" fillId="3" borderId="12" xfId="0" applyNumberFormat="1" applyFont="1" applyFill="1" applyBorder="1" applyAlignment="1">
      <alignment horizontal="center"/>
    </xf>
    <xf numFmtId="0" fontId="26" fillId="3" borderId="5" xfId="0" applyFont="1" applyFill="1" applyBorder="1" applyAlignment="1">
      <alignment horizontal="center"/>
    </xf>
    <xf numFmtId="44" fontId="26" fillId="3" borderId="22" xfId="0" applyNumberFormat="1" applyFont="1" applyFill="1" applyBorder="1" applyAlignment="1">
      <alignment horizontal="center"/>
    </xf>
    <xf numFmtId="44" fontId="5" fillId="6" borderId="27" xfId="0" applyNumberFormat="1" applyFont="1" applyFill="1" applyBorder="1"/>
    <xf numFmtId="44" fontId="5" fillId="6" borderId="28" xfId="0" applyNumberFormat="1" applyFont="1" applyFill="1" applyBorder="1"/>
    <xf numFmtId="0" fontId="26" fillId="3" borderId="48" xfId="0" applyFont="1" applyFill="1" applyBorder="1"/>
    <xf numFmtId="44" fontId="5" fillId="6" borderId="30" xfId="0" applyNumberFormat="1" applyFont="1" applyFill="1" applyBorder="1"/>
    <xf numFmtId="44" fontId="5" fillId="6" borderId="61" xfId="0" applyNumberFormat="1" applyFont="1" applyFill="1" applyBorder="1"/>
    <xf numFmtId="0" fontId="26" fillId="3" borderId="27" xfId="0" applyFont="1" applyFill="1" applyBorder="1"/>
    <xf numFmtId="44" fontId="5" fillId="6" borderId="35" xfId="0" applyNumberFormat="1" applyFont="1" applyFill="1" applyBorder="1"/>
    <xf numFmtId="0" fontId="26" fillId="3" borderId="60" xfId="0" applyFont="1" applyFill="1" applyBorder="1"/>
    <xf numFmtId="0" fontId="26" fillId="3" borderId="38" xfId="0" applyFont="1" applyFill="1" applyBorder="1"/>
    <xf numFmtId="0" fontId="29" fillId="3" borderId="21" xfId="0" applyFont="1" applyFill="1" applyBorder="1"/>
    <xf numFmtId="0" fontId="5" fillId="3" borderId="21" xfId="0" applyFont="1" applyFill="1" applyBorder="1" applyAlignment="1">
      <alignment horizontal="center" vertical="center"/>
    </xf>
    <xf numFmtId="0" fontId="6" fillId="3" borderId="5" xfId="0" applyFont="1" applyFill="1" applyBorder="1" applyAlignment="1">
      <alignment horizontal="center"/>
    </xf>
    <xf numFmtId="0" fontId="10" fillId="7" borderId="13" xfId="0" applyFont="1" applyFill="1" applyBorder="1" applyAlignment="1">
      <alignment horizontal="center"/>
    </xf>
    <xf numFmtId="5" fontId="6" fillId="3" borderId="4" xfId="0" applyNumberFormat="1" applyFont="1" applyFill="1" applyBorder="1" applyAlignment="1">
      <alignment horizontal="center"/>
    </xf>
    <xf numFmtId="5" fontId="6" fillId="3" borderId="10" xfId="0" applyNumberFormat="1" applyFont="1" applyFill="1" applyBorder="1" applyAlignment="1">
      <alignment horizontal="center"/>
    </xf>
    <xf numFmtId="5" fontId="6" fillId="3" borderId="6" xfId="0" applyNumberFormat="1" applyFont="1" applyFill="1" applyBorder="1" applyAlignment="1">
      <alignment horizontal="center"/>
    </xf>
    <xf numFmtId="5" fontId="6" fillId="3" borderId="12" xfId="0" applyNumberFormat="1" applyFont="1" applyFill="1" applyBorder="1" applyAlignment="1">
      <alignment horizontal="center"/>
    </xf>
    <xf numFmtId="5" fontId="6" fillId="3" borderId="9" xfId="0" applyNumberFormat="1" applyFont="1" applyFill="1" applyBorder="1" applyAlignment="1">
      <alignment horizontal="center"/>
    </xf>
    <xf numFmtId="5" fontId="6" fillId="3" borderId="11" xfId="0" applyNumberFormat="1" applyFont="1" applyFill="1" applyBorder="1" applyAlignment="1">
      <alignment horizontal="center"/>
    </xf>
    <xf numFmtId="5" fontId="10" fillId="7" borderId="1" xfId="0" applyNumberFormat="1" applyFont="1" applyFill="1" applyBorder="1" applyAlignment="1">
      <alignment horizontal="center"/>
    </xf>
    <xf numFmtId="44" fontId="6" fillId="0" borderId="0" xfId="0" applyNumberFormat="1" applyFont="1" applyAlignment="1">
      <alignment horizontal="center"/>
    </xf>
    <xf numFmtId="0" fontId="10" fillId="21" borderId="1" xfId="0" applyFont="1" applyFill="1" applyBorder="1" applyAlignment="1">
      <alignment horizontal="center" vertical="center" wrapText="1"/>
    </xf>
    <xf numFmtId="0" fontId="6" fillId="21" borderId="1" xfId="0" applyFont="1" applyFill="1" applyBorder="1" applyAlignment="1">
      <alignment wrapText="1"/>
    </xf>
    <xf numFmtId="2" fontId="6" fillId="3" borderId="0" xfId="0" applyNumberFormat="1" applyFont="1" applyFill="1"/>
    <xf numFmtId="2" fontId="6" fillId="3" borderId="0" xfId="0" applyNumberFormat="1" applyFont="1" applyFill="1" applyAlignment="1">
      <alignment horizontal="center"/>
    </xf>
    <xf numFmtId="10" fontId="6" fillId="3" borderId="0" xfId="2" applyNumberFormat="1" applyFont="1" applyFill="1" applyAlignment="1">
      <alignment horizontal="center"/>
    </xf>
    <xf numFmtId="44" fontId="6" fillId="3" borderId="0" xfId="1" applyFont="1" applyFill="1"/>
    <xf numFmtId="9" fontId="6" fillId="3" borderId="1" xfId="2" applyFont="1" applyFill="1" applyBorder="1"/>
    <xf numFmtId="10" fontId="12" fillId="0" borderId="23" xfId="0" applyNumberFormat="1" applyFont="1" applyBorder="1"/>
    <xf numFmtId="44" fontId="10" fillId="7" borderId="37" xfId="0" applyNumberFormat="1" applyFont="1" applyFill="1" applyBorder="1"/>
    <xf numFmtId="165" fontId="10" fillId="7" borderId="37" xfId="0" applyNumberFormat="1" applyFont="1" applyFill="1" applyBorder="1"/>
    <xf numFmtId="0" fontId="10" fillId="4" borderId="15" xfId="0" applyFont="1" applyFill="1" applyBorder="1" applyAlignment="1">
      <alignment horizontal="center"/>
    </xf>
    <xf numFmtId="0" fontId="10" fillId="4" borderId="13" xfId="0" applyFont="1" applyFill="1" applyBorder="1" applyAlignment="1">
      <alignment horizontal="center"/>
    </xf>
    <xf numFmtId="0" fontId="7" fillId="0" borderId="0" xfId="0" applyFont="1" applyAlignment="1">
      <alignment horizontal="right"/>
    </xf>
    <xf numFmtId="14" fontId="8" fillId="2" borderId="0" xfId="0" applyNumberFormat="1" applyFont="1" applyFill="1"/>
    <xf numFmtId="44" fontId="6" fillId="3" borderId="1" xfId="1" applyFont="1" applyFill="1" applyBorder="1" applyAlignment="1">
      <alignment horizontal="center"/>
    </xf>
    <xf numFmtId="44" fontId="7" fillId="14" borderId="1" xfId="1" applyFont="1" applyFill="1" applyBorder="1"/>
    <xf numFmtId="44" fontId="7" fillId="6" borderId="1" xfId="1" applyFont="1" applyFill="1" applyBorder="1" applyAlignment="1">
      <alignment horizontal="center"/>
    </xf>
    <xf numFmtId="1" fontId="6" fillId="0" borderId="1" xfId="0" applyNumberFormat="1" applyFont="1" applyBorder="1" applyAlignment="1">
      <alignment horizontal="center"/>
    </xf>
    <xf numFmtId="9" fontId="7" fillId="14" borderId="1" xfId="2" applyFont="1" applyFill="1" applyBorder="1"/>
    <xf numFmtId="44" fontId="6" fillId="3" borderId="6" xfId="1" applyFont="1" applyFill="1" applyBorder="1"/>
    <xf numFmtId="0" fontId="0" fillId="29" borderId="0" xfId="0" applyFill="1"/>
    <xf numFmtId="1" fontId="7" fillId="3" borderId="0" xfId="0" applyNumberFormat="1" applyFont="1" applyFill="1" applyAlignment="1">
      <alignment horizontal="center"/>
    </xf>
    <xf numFmtId="0" fontId="12" fillId="3" borderId="14" xfId="0" applyFont="1" applyFill="1" applyBorder="1"/>
    <xf numFmtId="1" fontId="7" fillId="0" borderId="0" xfId="0" applyNumberFormat="1" applyFont="1" applyAlignment="1">
      <alignment horizontal="center"/>
    </xf>
    <xf numFmtId="0" fontId="12" fillId="3" borderId="0" xfId="0" applyFont="1" applyFill="1"/>
    <xf numFmtId="10" fontId="12" fillId="3" borderId="0" xfId="0" applyNumberFormat="1" applyFont="1" applyFill="1" applyAlignment="1">
      <alignment horizontal="center"/>
    </xf>
    <xf numFmtId="0" fontId="6" fillId="3" borderId="10" xfId="0" applyFont="1" applyFill="1" applyBorder="1"/>
    <xf numFmtId="10" fontId="6" fillId="3" borderId="12" xfId="0" applyNumberFormat="1" applyFont="1" applyFill="1" applyBorder="1"/>
    <xf numFmtId="10" fontId="31" fillId="2" borderId="14" xfId="0" applyNumberFormat="1" applyFont="1" applyFill="1" applyBorder="1" applyAlignment="1">
      <alignment horizontal="center"/>
    </xf>
    <xf numFmtId="10" fontId="31" fillId="2" borderId="15" xfId="0" applyNumberFormat="1" applyFont="1" applyFill="1" applyBorder="1" applyAlignment="1">
      <alignment horizontal="center"/>
    </xf>
    <xf numFmtId="42" fontId="7" fillId="3" borderId="0" xfId="0" applyNumberFormat="1" applyFont="1" applyFill="1"/>
    <xf numFmtId="42" fontId="6" fillId="2" borderId="0" xfId="0" applyNumberFormat="1" applyFont="1" applyFill="1"/>
    <xf numFmtId="5" fontId="6" fillId="3" borderId="0" xfId="0" applyNumberFormat="1" applyFont="1" applyFill="1"/>
    <xf numFmtId="42" fontId="6" fillId="8" borderId="0" xfId="0" applyNumberFormat="1" applyFont="1" applyFill="1"/>
    <xf numFmtId="42" fontId="6" fillId="3" borderId="14" xfId="0" applyNumberFormat="1" applyFont="1" applyFill="1" applyBorder="1"/>
    <xf numFmtId="42" fontId="6" fillId="3" borderId="15" xfId="0" applyNumberFormat="1" applyFont="1" applyFill="1" applyBorder="1"/>
    <xf numFmtId="42" fontId="7" fillId="3" borderId="14" xfId="0" applyNumberFormat="1" applyFont="1" applyFill="1" applyBorder="1"/>
    <xf numFmtId="42" fontId="7" fillId="3" borderId="15" xfId="0" applyNumberFormat="1" applyFont="1" applyFill="1" applyBorder="1"/>
    <xf numFmtId="42" fontId="6" fillId="3" borderId="8" xfId="0" applyNumberFormat="1" applyFont="1" applyFill="1" applyBorder="1"/>
    <xf numFmtId="42" fontId="6" fillId="2" borderId="8" xfId="0" applyNumberFormat="1" applyFont="1" applyFill="1" applyBorder="1"/>
    <xf numFmtId="42" fontId="6" fillId="3" borderId="12" xfId="0" applyNumberFormat="1" applyFont="1" applyFill="1" applyBorder="1"/>
    <xf numFmtId="42" fontId="6" fillId="3" borderId="11" xfId="0" applyNumberFormat="1" applyFont="1" applyFill="1" applyBorder="1"/>
    <xf numFmtId="42" fontId="6" fillId="2" borderId="11" xfId="0" applyNumberFormat="1" applyFont="1" applyFill="1" applyBorder="1"/>
    <xf numFmtId="42" fontId="7" fillId="14" borderId="14" xfId="0" applyNumberFormat="1" applyFont="1" applyFill="1" applyBorder="1"/>
    <xf numFmtId="42" fontId="7" fillId="14" borderId="15" xfId="0" applyNumberFormat="1" applyFont="1" applyFill="1" applyBorder="1"/>
    <xf numFmtId="10" fontId="7" fillId="3" borderId="0" xfId="0" applyNumberFormat="1" applyFont="1" applyFill="1"/>
    <xf numFmtId="10" fontId="7" fillId="3" borderId="12" xfId="0" applyNumberFormat="1" applyFont="1" applyFill="1" applyBorder="1"/>
    <xf numFmtId="42" fontId="7" fillId="8" borderId="14" xfId="0" applyNumberFormat="1" applyFont="1" applyFill="1" applyBorder="1"/>
    <xf numFmtId="42" fontId="7" fillId="3" borderId="12" xfId="0" applyNumberFormat="1" applyFont="1" applyFill="1" applyBorder="1"/>
    <xf numFmtId="42" fontId="6" fillId="3" borderId="10" xfId="0" applyNumberFormat="1" applyFont="1" applyFill="1" applyBorder="1"/>
    <xf numFmtId="0" fontId="6" fillId="14" borderId="4" xfId="0" applyFont="1" applyFill="1" applyBorder="1"/>
    <xf numFmtId="42" fontId="6" fillId="14" borderId="6" xfId="0" applyNumberFormat="1" applyFont="1" applyFill="1" applyBorder="1"/>
    <xf numFmtId="42" fontId="6" fillId="14" borderId="9" xfId="0" applyNumberFormat="1" applyFont="1" applyFill="1" applyBorder="1"/>
    <xf numFmtId="42" fontId="7" fillId="14" borderId="6" xfId="0" applyNumberFormat="1" applyFont="1" applyFill="1" applyBorder="1"/>
    <xf numFmtId="42" fontId="6" fillId="14" borderId="1" xfId="0" applyNumberFormat="1" applyFont="1" applyFill="1" applyBorder="1"/>
    <xf numFmtId="42" fontId="7" fillId="14" borderId="1" xfId="0" applyNumberFormat="1" applyFont="1" applyFill="1" applyBorder="1"/>
    <xf numFmtId="10" fontId="6" fillId="14" borderId="6" xfId="0" applyNumberFormat="1" applyFont="1" applyFill="1" applyBorder="1"/>
    <xf numFmtId="10" fontId="7" fillId="14" borderId="6" xfId="0" applyNumberFormat="1" applyFont="1" applyFill="1" applyBorder="1"/>
    <xf numFmtId="1" fontId="6" fillId="3" borderId="0" xfId="2" applyNumberFormat="1" applyFont="1" applyFill="1"/>
    <xf numFmtId="10" fontId="8" fillId="2" borderId="1" xfId="0" applyNumberFormat="1" applyFont="1" applyFill="1" applyBorder="1" applyAlignment="1">
      <alignment horizontal="center"/>
    </xf>
    <xf numFmtId="42" fontId="7" fillId="6" borderId="1" xfId="0" applyNumberFormat="1" applyFont="1" applyFill="1" applyBorder="1" applyAlignment="1">
      <alignment horizontal="center"/>
    </xf>
    <xf numFmtId="44" fontId="7" fillId="3" borderId="3" xfId="0" applyNumberFormat="1" applyFont="1" applyFill="1" applyBorder="1" applyAlignment="1">
      <alignment horizontal="center"/>
    </xf>
    <xf numFmtId="0" fontId="11" fillId="3" borderId="0" xfId="0" applyFont="1" applyFill="1"/>
    <xf numFmtId="44" fontId="11" fillId="3" borderId="0" xfId="1" applyFont="1" applyFill="1" applyBorder="1" applyAlignment="1">
      <alignment horizontal="center"/>
    </xf>
    <xf numFmtId="44" fontId="7" fillId="3" borderId="96" xfId="0" applyNumberFormat="1" applyFont="1" applyFill="1" applyBorder="1"/>
    <xf numFmtId="44" fontId="7" fillId="3" borderId="97" xfId="0" applyNumberFormat="1" applyFont="1" applyFill="1" applyBorder="1"/>
    <xf numFmtId="44" fontId="7" fillId="17" borderId="98" xfId="0" applyNumberFormat="1" applyFont="1" applyFill="1" applyBorder="1"/>
    <xf numFmtId="44" fontId="7" fillId="17" borderId="99" xfId="0" applyNumberFormat="1" applyFont="1" applyFill="1" applyBorder="1"/>
    <xf numFmtId="42" fontId="6" fillId="2" borderId="4" xfId="1" applyNumberFormat="1" applyFont="1" applyFill="1" applyBorder="1"/>
    <xf numFmtId="42" fontId="6" fillId="2" borderId="6" xfId="1" applyNumberFormat="1" applyFont="1" applyFill="1" applyBorder="1"/>
    <xf numFmtId="42" fontId="6" fillId="2" borderId="9" xfId="1" applyNumberFormat="1" applyFont="1" applyFill="1" applyBorder="1"/>
    <xf numFmtId="0" fontId="7" fillId="3" borderId="65" xfId="0" applyFont="1" applyFill="1" applyBorder="1" applyAlignment="1">
      <alignment horizontal="center"/>
    </xf>
    <xf numFmtId="0" fontId="25" fillId="3" borderId="0" xfId="0" applyFont="1" applyFill="1" applyAlignment="1">
      <alignment horizontal="center"/>
    </xf>
    <xf numFmtId="165" fontId="10" fillId="7" borderId="13" xfId="0" applyNumberFormat="1" applyFont="1" applyFill="1" applyBorder="1" applyAlignment="1">
      <alignment horizontal="center"/>
    </xf>
    <xf numFmtId="165" fontId="10" fillId="7" borderId="14" xfId="0" applyNumberFormat="1" applyFont="1" applyFill="1" applyBorder="1" applyAlignment="1">
      <alignment horizontal="center"/>
    </xf>
    <xf numFmtId="165" fontId="10" fillId="7" borderId="15" xfId="0" applyNumberFormat="1" applyFont="1" applyFill="1" applyBorder="1" applyAlignment="1">
      <alignment horizontal="center"/>
    </xf>
    <xf numFmtId="0" fontId="11" fillId="3" borderId="2" xfId="0" applyFont="1" applyFill="1" applyBorder="1" applyAlignment="1">
      <alignment horizontal="right"/>
    </xf>
    <xf numFmtId="0" fontId="11" fillId="3" borderId="3" xfId="0" applyFont="1" applyFill="1" applyBorder="1" applyAlignment="1">
      <alignment horizontal="right"/>
    </xf>
    <xf numFmtId="0" fontId="11" fillId="3" borderId="7" xfId="0" applyFont="1" applyFill="1" applyBorder="1" applyAlignment="1">
      <alignment horizontal="right"/>
    </xf>
    <xf numFmtId="0" fontId="11" fillId="3" borderId="8" xfId="0" applyFont="1" applyFill="1" applyBorder="1" applyAlignment="1">
      <alignment horizontal="right"/>
    </xf>
    <xf numFmtId="0" fontId="10" fillId="7" borderId="13" xfId="0" applyFont="1" applyFill="1" applyBorder="1" applyAlignment="1">
      <alignment horizontal="left"/>
    </xf>
    <xf numFmtId="0" fontId="10" fillId="7" borderId="15" xfId="0" applyFont="1" applyFill="1" applyBorder="1" applyAlignment="1">
      <alignment horizontal="left"/>
    </xf>
    <xf numFmtId="0" fontId="9" fillId="10" borderId="0" xfId="3" applyFont="1" applyFill="1" applyBorder="1" applyAlignment="1">
      <alignment horizontal="center" vertical="center"/>
    </xf>
    <xf numFmtId="0" fontId="10" fillId="20" borderId="8" xfId="0" applyFont="1" applyFill="1" applyBorder="1" applyAlignment="1">
      <alignment horizontal="center"/>
    </xf>
    <xf numFmtId="0" fontId="7" fillId="6" borderId="13" xfId="0" applyFont="1" applyFill="1" applyBorder="1" applyAlignment="1">
      <alignment horizontal="center"/>
    </xf>
    <xf numFmtId="0" fontId="7" fillId="6" borderId="15" xfId="0" applyFont="1" applyFill="1" applyBorder="1" applyAlignment="1">
      <alignment horizontal="center"/>
    </xf>
    <xf numFmtId="0" fontId="7" fillId="3" borderId="8" xfId="0" applyFont="1" applyFill="1" applyBorder="1" applyAlignment="1">
      <alignment horizontal="center"/>
    </xf>
    <xf numFmtId="0" fontId="7" fillId="3" borderId="0" xfId="0" applyFont="1" applyFill="1" applyAlignment="1">
      <alignment horizontal="center"/>
    </xf>
    <xf numFmtId="0" fontId="6" fillId="3" borderId="0" xfId="0" applyFont="1" applyFill="1" applyAlignment="1">
      <alignment horizontal="center"/>
    </xf>
    <xf numFmtId="0" fontId="7" fillId="3" borderId="47" xfId="0" applyFont="1" applyFill="1" applyBorder="1" applyAlignment="1">
      <alignment horizontal="center" vertical="center"/>
    </xf>
    <xf numFmtId="0" fontId="7" fillId="3" borderId="33"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22"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24" xfId="0" applyFont="1" applyFill="1" applyBorder="1" applyAlignment="1">
      <alignment horizontal="center" vertical="center"/>
    </xf>
    <xf numFmtId="0" fontId="7" fillId="3" borderId="25" xfId="0" applyFont="1" applyFill="1" applyBorder="1" applyAlignment="1">
      <alignment horizontal="center"/>
    </xf>
    <xf numFmtId="0" fontId="7" fillId="3" borderId="15" xfId="0" applyFont="1" applyFill="1" applyBorder="1" applyAlignment="1">
      <alignment horizontal="center"/>
    </xf>
    <xf numFmtId="0" fontId="7" fillId="3" borderId="14" xfId="0" applyFont="1" applyFill="1" applyBorder="1" applyAlignment="1">
      <alignment horizontal="center"/>
    </xf>
    <xf numFmtId="0" fontId="7" fillId="3" borderId="13" xfId="0" applyFont="1" applyFill="1" applyBorder="1" applyAlignment="1">
      <alignment horizont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0" xfId="0" applyFont="1" applyFill="1" applyAlignment="1">
      <alignment horizontal="center" vertical="center"/>
    </xf>
    <xf numFmtId="0" fontId="6" fillId="3" borderId="8"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7" xfId="0" applyFont="1" applyFill="1" applyBorder="1" applyAlignment="1">
      <alignment horizontal="center" vertical="center"/>
    </xf>
    <xf numFmtId="0" fontId="7" fillId="6" borderId="16" xfId="0" applyFont="1" applyFill="1" applyBorder="1" applyAlignment="1">
      <alignment horizontal="center" vertical="center"/>
    </xf>
    <xf numFmtId="0" fontId="7" fillId="6" borderId="17" xfId="0" applyFont="1" applyFill="1" applyBorder="1" applyAlignment="1">
      <alignment horizontal="center" vertical="center"/>
    </xf>
    <xf numFmtId="0" fontId="7" fillId="6" borderId="18" xfId="0" applyFont="1" applyFill="1" applyBorder="1" applyAlignment="1">
      <alignment horizontal="center" vertical="center"/>
    </xf>
    <xf numFmtId="0" fontId="7" fillId="8" borderId="31" xfId="0" applyFont="1" applyFill="1" applyBorder="1" applyAlignment="1">
      <alignment horizontal="center" vertical="center"/>
    </xf>
    <xf numFmtId="0" fontId="7" fillId="8" borderId="33" xfId="0" applyFont="1" applyFill="1" applyBorder="1" applyAlignment="1">
      <alignment horizontal="center" vertical="center"/>
    </xf>
    <xf numFmtId="0" fontId="7" fillId="8" borderId="45" xfId="0" applyFont="1" applyFill="1" applyBorder="1" applyAlignment="1">
      <alignment horizontal="center" vertical="center"/>
    </xf>
    <xf numFmtId="0" fontId="7" fillId="8" borderId="38" xfId="0" applyFont="1" applyFill="1" applyBorder="1" applyAlignment="1">
      <alignment horizontal="center" vertical="center"/>
    </xf>
    <xf numFmtId="0" fontId="10" fillId="7" borderId="31" xfId="0" applyFont="1" applyFill="1" applyBorder="1" applyAlignment="1">
      <alignment horizontal="center" vertical="center"/>
    </xf>
    <xf numFmtId="0" fontId="10" fillId="7" borderId="32" xfId="0" applyFont="1" applyFill="1" applyBorder="1" applyAlignment="1">
      <alignment horizontal="center" vertical="center"/>
    </xf>
    <xf numFmtId="0" fontId="10" fillId="7" borderId="23" xfId="0" applyFont="1" applyFill="1" applyBorder="1" applyAlignment="1">
      <alignment horizontal="center" vertical="center"/>
    </xf>
    <xf numFmtId="0" fontId="10" fillId="7" borderId="8"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3"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4" xfId="0" applyFont="1" applyFill="1" applyBorder="1" applyAlignment="1">
      <alignment horizontal="center" vertical="center"/>
    </xf>
    <xf numFmtId="0" fontId="6" fillId="3" borderId="3" xfId="0" applyFont="1" applyFill="1" applyBorder="1" applyAlignment="1">
      <alignment horizontal="center" vertical="center"/>
    </xf>
    <xf numFmtId="0" fontId="7" fillId="3" borderId="26" xfId="0" applyFont="1" applyFill="1" applyBorder="1" applyAlignment="1">
      <alignment horizontal="center"/>
    </xf>
    <xf numFmtId="0" fontId="7" fillId="3" borderId="2" xfId="0" applyFont="1" applyFill="1" applyBorder="1" applyAlignment="1">
      <alignment horizontal="left"/>
    </xf>
    <xf numFmtId="0" fontId="7" fillId="3" borderId="20" xfId="0" applyFont="1" applyFill="1" applyBorder="1" applyAlignment="1">
      <alignment horizontal="left"/>
    </xf>
    <xf numFmtId="0" fontId="5" fillId="6" borderId="16" xfId="0" applyFont="1" applyFill="1" applyBorder="1" applyAlignment="1">
      <alignment horizontal="center" vertical="center"/>
    </xf>
    <xf numFmtId="0" fontId="5" fillId="6" borderId="17" xfId="0" applyFont="1" applyFill="1" applyBorder="1" applyAlignment="1">
      <alignment horizontal="center" vertical="center"/>
    </xf>
    <xf numFmtId="0" fontId="5" fillId="6" borderId="18" xfId="0" applyFont="1" applyFill="1" applyBorder="1" applyAlignment="1">
      <alignment horizontal="center" vertical="center"/>
    </xf>
    <xf numFmtId="0" fontId="27" fillId="7" borderId="31" xfId="0" applyFont="1" applyFill="1" applyBorder="1" applyAlignment="1">
      <alignment horizontal="center" vertical="center"/>
    </xf>
    <xf numFmtId="0" fontId="27" fillId="7" borderId="32" xfId="0" applyFont="1" applyFill="1" applyBorder="1" applyAlignment="1">
      <alignment horizontal="center" vertical="center"/>
    </xf>
    <xf numFmtId="0" fontId="27" fillId="7" borderId="33" xfId="0" applyFont="1" applyFill="1" applyBorder="1" applyAlignment="1">
      <alignment horizontal="center" vertical="center"/>
    </xf>
    <xf numFmtId="0" fontId="27" fillId="7" borderId="23" xfId="0" applyFont="1" applyFill="1" applyBorder="1" applyAlignment="1">
      <alignment horizontal="center" vertical="center"/>
    </xf>
    <xf numFmtId="0" fontId="27" fillId="7" borderId="8" xfId="0" applyFont="1" applyFill="1" applyBorder="1" applyAlignment="1">
      <alignment horizontal="center" vertical="center"/>
    </xf>
    <xf numFmtId="0" fontId="27" fillId="7" borderId="24" xfId="0" applyFont="1" applyFill="1" applyBorder="1" applyAlignment="1">
      <alignment horizontal="center" vertical="center"/>
    </xf>
    <xf numFmtId="0" fontId="5" fillId="3" borderId="32" xfId="0" applyFont="1" applyFill="1" applyBorder="1" applyAlignment="1">
      <alignment horizontal="center" vertical="center"/>
    </xf>
    <xf numFmtId="0" fontId="5" fillId="3" borderId="33" xfId="0" applyFont="1" applyFill="1" applyBorder="1" applyAlignment="1">
      <alignment horizontal="center" vertical="center"/>
    </xf>
    <xf numFmtId="0" fontId="5" fillId="3" borderId="0" xfId="0" applyFont="1" applyFill="1" applyAlignment="1">
      <alignment horizontal="center" vertical="center"/>
    </xf>
    <xf numFmtId="0" fontId="5" fillId="3" borderId="22"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24" xfId="0" applyFont="1" applyFill="1" applyBorder="1" applyAlignment="1">
      <alignment horizontal="center" vertical="center"/>
    </xf>
    <xf numFmtId="0" fontId="26" fillId="3" borderId="3" xfId="0" applyFont="1" applyFill="1" applyBorder="1" applyAlignment="1">
      <alignment horizontal="center" vertical="center"/>
    </xf>
    <xf numFmtId="0" fontId="26" fillId="3" borderId="8" xfId="0" applyFont="1" applyFill="1" applyBorder="1" applyAlignment="1">
      <alignment horizontal="center" vertical="center"/>
    </xf>
    <xf numFmtId="0" fontId="5" fillId="3" borderId="13" xfId="0" applyFont="1" applyFill="1" applyBorder="1" applyAlignment="1">
      <alignment horizontal="center"/>
    </xf>
    <xf numFmtId="0" fontId="5" fillId="3" borderId="26" xfId="0" applyFont="1" applyFill="1" applyBorder="1" applyAlignment="1">
      <alignment horizontal="center"/>
    </xf>
    <xf numFmtId="0" fontId="5" fillId="3" borderId="2" xfId="0" applyFont="1" applyFill="1" applyBorder="1" applyAlignment="1">
      <alignment horizontal="left"/>
    </xf>
    <xf numFmtId="0" fontId="5" fillId="3" borderId="20" xfId="0" applyFont="1" applyFill="1" applyBorder="1" applyAlignment="1">
      <alignment horizontal="left"/>
    </xf>
    <xf numFmtId="0" fontId="26" fillId="3" borderId="19" xfId="0" applyFont="1" applyFill="1" applyBorder="1" applyAlignment="1">
      <alignment horizontal="center" vertical="center"/>
    </xf>
    <xf numFmtId="0" fontId="26" fillId="3" borderId="23" xfId="0" applyFont="1" applyFill="1" applyBorder="1" applyAlignment="1">
      <alignment horizontal="center" vertical="center"/>
    </xf>
    <xf numFmtId="0" fontId="26" fillId="3" borderId="10" xfId="0" applyFont="1" applyFill="1" applyBorder="1" applyAlignment="1">
      <alignment horizontal="center" vertical="center"/>
    </xf>
    <xf numFmtId="0" fontId="26" fillId="3" borderId="11" xfId="0" applyFont="1" applyFill="1" applyBorder="1" applyAlignment="1">
      <alignment horizontal="center" vertical="center"/>
    </xf>
    <xf numFmtId="0" fontId="26" fillId="3" borderId="2" xfId="0" applyFont="1" applyFill="1" applyBorder="1" applyAlignment="1">
      <alignment horizontal="center" vertical="center"/>
    </xf>
    <xf numFmtId="0" fontId="26" fillId="3" borderId="7" xfId="0" applyFont="1" applyFill="1" applyBorder="1" applyAlignment="1">
      <alignment horizontal="center" vertical="center"/>
    </xf>
    <xf numFmtId="0" fontId="26" fillId="3" borderId="20" xfId="0" applyFont="1" applyFill="1" applyBorder="1" applyAlignment="1">
      <alignment horizontal="center" vertical="center"/>
    </xf>
    <xf numFmtId="0" fontId="26" fillId="3" borderId="24" xfId="0" applyFont="1" applyFill="1" applyBorder="1" applyAlignment="1">
      <alignment horizontal="center" vertical="center"/>
    </xf>
    <xf numFmtId="0" fontId="5" fillId="3" borderId="25" xfId="0" applyFont="1" applyFill="1" applyBorder="1" applyAlignment="1">
      <alignment horizontal="center"/>
    </xf>
    <xf numFmtId="0" fontId="5" fillId="3" borderId="15" xfId="0" applyFont="1" applyFill="1" applyBorder="1" applyAlignment="1">
      <alignment horizontal="center"/>
    </xf>
    <xf numFmtId="0" fontId="7" fillId="3" borderId="1" xfId="0" applyFont="1" applyFill="1" applyBorder="1" applyAlignment="1">
      <alignment horizontal="center"/>
    </xf>
  </cellXfs>
  <cellStyles count="5">
    <cellStyle name="Currency" xfId="1" builtinId="4"/>
    <cellStyle name="Heading 1" xfId="4" builtinId="16"/>
    <cellStyle name="Normal" xfId="0" builtinId="0"/>
    <cellStyle name="Percent" xfId="2" builtinId="5"/>
    <cellStyle name="Title" xfId="3" builtinId="15"/>
  </cellStyles>
  <dxfs count="2">
    <dxf>
      <fill>
        <patternFill>
          <bgColor theme="9" tint="0.59996337778862885"/>
        </patternFill>
      </fill>
    </dxf>
    <dxf>
      <font>
        <color rgb="FF006100"/>
      </font>
      <fill>
        <patternFill>
          <bgColor rgb="FFC6EFCE"/>
        </patternFill>
      </fill>
    </dxf>
  </dxfs>
  <tableStyles count="0" defaultTableStyle="TableStyleMedium2" defaultPivotStyle="PivotStyleLight16"/>
  <colors>
    <mruColors>
      <color rgb="FFFFFFCC"/>
      <color rgb="FF47D359"/>
      <color rgb="FF002044"/>
      <color rgb="FF215C98"/>
      <color rgb="FF1134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Bellrock%20-%20Lower%20Heights/Budget%20Model%20-%20Sawyer%20Yards.xlsx" TargetMode="External"/><Relationship Id="rId2" Type="http://schemas.openxmlformats.org/officeDocument/2006/relationships/externalLinkPath" Target="https://mgihou.sharepoint.com/sites/PropertyManagement/Property%20Management/Residential/Due%20Diligence/Bellrock%20-%20Lower%20Heights/Budget%20Model%20-%20Sawyer%20Yards.xlsx" TargetMode="External"/><Relationship Id="rId1" Type="http://schemas.openxmlformats.org/officeDocument/2006/relationships/externalLinkPath" Target="/sites/PropertyManagement/Property%20Management/Residential/Due%20Diligence/Bellrock%20-%20Lower%20Heights/Budget%20Model%20-%20Sawyer%20Yar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reystar Budget Inputs"/>
      <sheetName val="T-12 Inputs"/>
      <sheetName val="Lease-Up Proforma"/>
      <sheetName val="Operating Budget - Monthly"/>
      <sheetName val="Other Income Assumptions"/>
      <sheetName val="Payroll Schedule - Lease-Up"/>
      <sheetName val="Payroll Schedule"/>
      <sheetName val="G&amp;A Assumptions"/>
      <sheetName val="Marketing Stack - Lease-Up"/>
      <sheetName val="Marketing Stack - Stabilized"/>
      <sheetName val="Absorption Schedule"/>
      <sheetName val="5-Year Projection"/>
      <sheetName val="Payroll Schedule (Year 2)"/>
      <sheetName val="Marketing Stack - Year 2"/>
      <sheetName val="Proforma"/>
      <sheetName val="Rent Schedule"/>
      <sheetName val="Sheet5"/>
      <sheetName val="R&amp;M Assumptions"/>
      <sheetName val="Utilities Assumptions"/>
      <sheetName val="Marketing List - Dropdowns"/>
      <sheetName val="OpStatement List - Dropdow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2">
          <cell r="E22">
            <v>327</v>
          </cell>
        </row>
      </sheetData>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2218A-A59A-497A-9260-39B63AD4CC19}">
  <sheetPr>
    <tabColor rgb="FF002044"/>
  </sheetPr>
  <dimension ref="A1"/>
  <sheetViews>
    <sheetView workbookViewId="0">
      <selection activeCell="F33" sqref="F33"/>
    </sheetView>
  </sheetViews>
  <sheetFormatPr defaultRowHeight="14.4" x14ac:dyDescent="0.3"/>
  <cols>
    <col min="1" max="16384" width="8.88671875" style="670"/>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D21C8-F346-415C-8DF1-AEC8DC60F42B}">
  <sheetPr>
    <tabColor rgb="FFFFFFCC"/>
  </sheetPr>
  <dimension ref="A1:Y439"/>
  <sheetViews>
    <sheetView zoomScale="90" zoomScaleNormal="90" workbookViewId="0">
      <selection activeCell="F31" sqref="F31"/>
    </sheetView>
  </sheetViews>
  <sheetFormatPr defaultRowHeight="13.8" outlineLevelRow="1" x14ac:dyDescent="0.3"/>
  <cols>
    <col min="1" max="1" width="28.6640625" style="2" customWidth="1"/>
    <col min="2" max="2" width="37.44140625" style="2" bestFit="1" customWidth="1"/>
    <col min="3" max="3" width="16.88671875" style="2" customWidth="1"/>
    <col min="4" max="4" width="17.77734375" style="2" customWidth="1"/>
    <col min="5" max="15" width="13.88671875" style="2" bestFit="1" customWidth="1"/>
    <col min="16" max="16" width="7.33203125" style="2" bestFit="1" customWidth="1"/>
    <col min="17" max="17" width="14.88671875" style="2" bestFit="1" customWidth="1"/>
    <col min="18" max="18" width="2.109375" style="2" customWidth="1"/>
    <col min="19" max="19" width="14.88671875" style="2" bestFit="1" customWidth="1"/>
    <col min="20" max="20" width="17.109375" style="2" customWidth="1"/>
    <col min="21" max="21" width="14.88671875" style="2" bestFit="1" customWidth="1"/>
    <col min="22" max="22" width="14.44140625" style="2" hidden="1" customWidth="1"/>
    <col min="23" max="23" width="13.88671875" style="2" bestFit="1" customWidth="1"/>
    <col min="24" max="24" width="8.88671875" style="2"/>
    <col min="25" max="25" width="13.88671875" style="2" bestFit="1" customWidth="1"/>
    <col min="26" max="16384" width="8.88671875" style="2"/>
  </cols>
  <sheetData>
    <row r="1" spans="1:25" x14ac:dyDescent="0.3">
      <c r="D1" s="8"/>
      <c r="E1" s="8"/>
      <c r="F1" s="8"/>
      <c r="G1" s="8"/>
      <c r="H1" s="8"/>
      <c r="I1" s="8"/>
      <c r="J1" s="8"/>
      <c r="K1" s="8"/>
      <c r="L1" s="8"/>
      <c r="M1" s="8"/>
      <c r="N1" s="8"/>
      <c r="O1" s="8"/>
    </row>
    <row r="2" spans="1:25" x14ac:dyDescent="0.3">
      <c r="B2" s="662" t="s">
        <v>493</v>
      </c>
      <c r="C2" s="11"/>
      <c r="D2" s="7" t="s">
        <v>5</v>
      </c>
      <c r="E2" s="663">
        <v>46113</v>
      </c>
      <c r="N2" s="8"/>
    </row>
    <row r="3" spans="1:25" x14ac:dyDescent="0.3">
      <c r="D3" s="8"/>
      <c r="E3" s="8"/>
      <c r="F3" s="8"/>
      <c r="G3" s="8"/>
      <c r="H3" s="8"/>
      <c r="I3" s="8"/>
      <c r="J3" s="8"/>
      <c r="K3" s="8"/>
      <c r="L3" s="8"/>
      <c r="M3" s="8"/>
      <c r="N3" s="8"/>
      <c r="O3" s="8"/>
    </row>
    <row r="4" spans="1:25" x14ac:dyDescent="0.3">
      <c r="D4" s="9">
        <v>1</v>
      </c>
      <c r="E4" s="9">
        <f>+D4+1</f>
        <v>2</v>
      </c>
      <c r="F4" s="9">
        <f t="shared" ref="F4:O4" si="0">+E4+1</f>
        <v>3</v>
      </c>
      <c r="G4" s="9">
        <f t="shared" si="0"/>
        <v>4</v>
      </c>
      <c r="H4" s="9">
        <f t="shared" si="0"/>
        <v>5</v>
      </c>
      <c r="I4" s="9">
        <f t="shared" si="0"/>
        <v>6</v>
      </c>
      <c r="J4" s="9">
        <f t="shared" si="0"/>
        <v>7</v>
      </c>
      <c r="K4" s="9">
        <f t="shared" si="0"/>
        <v>8</v>
      </c>
      <c r="L4" s="9">
        <f t="shared" si="0"/>
        <v>9</v>
      </c>
      <c r="M4" s="9">
        <f t="shared" si="0"/>
        <v>10</v>
      </c>
      <c r="N4" s="9">
        <f t="shared" si="0"/>
        <v>11</v>
      </c>
      <c r="O4" s="9">
        <f t="shared" si="0"/>
        <v>12</v>
      </c>
      <c r="S4" s="9" t="s">
        <v>71</v>
      </c>
      <c r="T4" s="9" t="s">
        <v>68</v>
      </c>
      <c r="U4" s="9" t="s">
        <v>69</v>
      </c>
      <c r="V4" s="9" t="s">
        <v>72</v>
      </c>
      <c r="W4" s="9" t="s">
        <v>70</v>
      </c>
    </row>
    <row r="5" spans="1:25" x14ac:dyDescent="0.3">
      <c r="B5" s="7" t="s">
        <v>1</v>
      </c>
      <c r="D5" s="649"/>
      <c r="E5" s="649"/>
      <c r="F5" s="649"/>
      <c r="G5" s="649"/>
      <c r="H5" s="649"/>
      <c r="I5" s="649"/>
      <c r="J5" s="649"/>
      <c r="K5" s="649"/>
      <c r="L5" s="649"/>
      <c r="M5" s="649"/>
      <c r="N5" s="649"/>
      <c r="O5" s="649"/>
    </row>
    <row r="6" spans="1:25" x14ac:dyDescent="0.3">
      <c r="A6" s="2" t="s">
        <v>2</v>
      </c>
      <c r="B6" s="2" t="s">
        <v>3</v>
      </c>
      <c r="C6" s="2" t="s">
        <v>4</v>
      </c>
      <c r="D6" s="10">
        <f t="shared" ref="D6:M6" si="1">EOMONTH(E6,-1)</f>
        <v>45808</v>
      </c>
      <c r="E6" s="10">
        <f t="shared" si="1"/>
        <v>45838</v>
      </c>
      <c r="F6" s="10">
        <f t="shared" si="1"/>
        <v>45869</v>
      </c>
      <c r="G6" s="10">
        <f t="shared" si="1"/>
        <v>45900</v>
      </c>
      <c r="H6" s="10">
        <f t="shared" si="1"/>
        <v>45930</v>
      </c>
      <c r="I6" s="10">
        <f t="shared" si="1"/>
        <v>45961</v>
      </c>
      <c r="J6" s="10">
        <f t="shared" si="1"/>
        <v>45991</v>
      </c>
      <c r="K6" s="10">
        <f t="shared" si="1"/>
        <v>46022</v>
      </c>
      <c r="L6" s="10">
        <f t="shared" si="1"/>
        <v>46053</v>
      </c>
      <c r="M6" s="10">
        <f t="shared" si="1"/>
        <v>46081</v>
      </c>
      <c r="N6" s="10">
        <f>EOMONTH(O6,-1)</f>
        <v>46112</v>
      </c>
      <c r="O6" s="10">
        <f>+E2</f>
        <v>46113</v>
      </c>
      <c r="Q6" s="9" t="s">
        <v>18</v>
      </c>
    </row>
    <row r="7" spans="1:25" x14ac:dyDescent="0.3">
      <c r="A7" s="11"/>
      <c r="B7" s="11"/>
      <c r="C7" s="11"/>
      <c r="D7" s="12"/>
      <c r="E7" s="12"/>
      <c r="F7" s="12"/>
      <c r="G7" s="12"/>
      <c r="H7" s="12"/>
      <c r="I7" s="12"/>
      <c r="J7" s="12"/>
      <c r="K7" s="12"/>
      <c r="L7" s="12"/>
      <c r="M7" s="12"/>
      <c r="N7" s="12"/>
      <c r="O7" s="13"/>
      <c r="Q7" s="8">
        <f t="shared" ref="Q7" si="2">IFERROR(SUM(D7:O7),"")</f>
        <v>0</v>
      </c>
      <c r="S7" s="8">
        <f>+SUM(O7)*12</f>
        <v>0</v>
      </c>
      <c r="T7" s="8">
        <f>+SUM(M7:O7)*4</f>
        <v>0</v>
      </c>
      <c r="U7" s="8">
        <f>+SUM(J7:O7)*2</f>
        <v>0</v>
      </c>
      <c r="V7" s="8">
        <f>+SUM(G7:O7)/9*12</f>
        <v>0</v>
      </c>
      <c r="W7" s="8">
        <f>+SUM(D7:O7)</f>
        <v>0</v>
      </c>
    </row>
    <row r="8" spans="1:25" x14ac:dyDescent="0.3">
      <c r="A8" s="11"/>
      <c r="B8" s="11"/>
      <c r="C8" s="11"/>
      <c r="D8" s="1"/>
      <c r="E8" s="1"/>
      <c r="F8" s="1"/>
      <c r="G8" s="1"/>
      <c r="H8" s="1"/>
      <c r="I8" s="1"/>
      <c r="J8" s="1"/>
      <c r="K8" s="1"/>
      <c r="L8" s="1"/>
      <c r="M8" s="1"/>
      <c r="N8" s="1"/>
      <c r="O8" s="1"/>
      <c r="Q8" s="8">
        <f t="shared" ref="Q8:Q33" si="3">IFERROR(SUM(D8:O8),"")</f>
        <v>0</v>
      </c>
      <c r="S8" s="8">
        <f t="shared" ref="S8:S71" si="4">+SUM(O8)*12</f>
        <v>0</v>
      </c>
      <c r="T8" s="8">
        <f t="shared" ref="T8:T71" si="5">+SUM(M8:O8)*4</f>
        <v>0</v>
      </c>
      <c r="U8" s="8">
        <f t="shared" ref="U8:U71" si="6">+SUM(J8:O8)*2</f>
        <v>0</v>
      </c>
      <c r="V8" s="8">
        <f t="shared" ref="V8:V71" si="7">+SUM(G8:O8)/9*12</f>
        <v>0</v>
      </c>
      <c r="W8" s="8">
        <f t="shared" ref="W8:W71" si="8">+SUM(D8:O8)</f>
        <v>0</v>
      </c>
      <c r="Y8" s="8" cm="1">
        <f t="array" ref="Y8">+SUMPRODUCT(D7:O100*(A7:A100="GPR"))</f>
        <v>0</v>
      </c>
    </row>
    <row r="9" spans="1:25" x14ac:dyDescent="0.3">
      <c r="A9" s="11"/>
      <c r="B9" s="11"/>
      <c r="C9" s="11"/>
      <c r="D9" s="1"/>
      <c r="E9" s="1"/>
      <c r="F9" s="1"/>
      <c r="G9" s="1"/>
      <c r="H9" s="1"/>
      <c r="I9" s="1"/>
      <c r="J9" s="1"/>
      <c r="K9" s="1"/>
      <c r="L9" s="1"/>
      <c r="M9" s="1"/>
      <c r="N9" s="1"/>
      <c r="O9" s="1"/>
      <c r="Q9" s="8">
        <f t="shared" si="3"/>
        <v>0</v>
      </c>
      <c r="S9" s="8">
        <f t="shared" si="4"/>
        <v>0</v>
      </c>
      <c r="T9" s="8">
        <f t="shared" si="5"/>
        <v>0</v>
      </c>
      <c r="U9" s="8">
        <f t="shared" si="6"/>
        <v>0</v>
      </c>
      <c r="V9" s="8">
        <f t="shared" si="7"/>
        <v>0</v>
      </c>
      <c r="W9" s="8">
        <f t="shared" si="8"/>
        <v>0</v>
      </c>
      <c r="Y9" s="14"/>
    </row>
    <row r="10" spans="1:25" x14ac:dyDescent="0.3">
      <c r="A10" s="11"/>
      <c r="B10" s="11"/>
      <c r="C10" s="11"/>
      <c r="D10" s="1"/>
      <c r="E10" s="1"/>
      <c r="F10" s="1"/>
      <c r="G10" s="1"/>
      <c r="H10" s="1"/>
      <c r="I10" s="1"/>
      <c r="J10" s="1"/>
      <c r="K10" s="1"/>
      <c r="L10" s="1"/>
      <c r="M10" s="1"/>
      <c r="N10" s="1"/>
      <c r="O10" s="1"/>
      <c r="Q10" s="8">
        <f t="shared" si="3"/>
        <v>0</v>
      </c>
      <c r="S10" s="8">
        <f t="shared" si="4"/>
        <v>0</v>
      </c>
      <c r="T10" s="8">
        <f t="shared" si="5"/>
        <v>0</v>
      </c>
      <c r="U10" s="8">
        <f t="shared" si="6"/>
        <v>0</v>
      </c>
      <c r="V10" s="8">
        <f t="shared" si="7"/>
        <v>0</v>
      </c>
      <c r="W10" s="8">
        <f t="shared" si="8"/>
        <v>0</v>
      </c>
    </row>
    <row r="11" spans="1:25" x14ac:dyDescent="0.3">
      <c r="A11" s="11"/>
      <c r="B11" s="11"/>
      <c r="C11" s="11"/>
      <c r="D11" s="1"/>
      <c r="E11" s="1"/>
      <c r="F11" s="1"/>
      <c r="G11" s="1"/>
      <c r="H11" s="1"/>
      <c r="I11" s="1"/>
      <c r="J11" s="1"/>
      <c r="K11" s="1"/>
      <c r="L11" s="1"/>
      <c r="M11" s="1"/>
      <c r="N11" s="1"/>
      <c r="O11" s="1"/>
      <c r="Q11" s="8">
        <f t="shared" si="3"/>
        <v>0</v>
      </c>
      <c r="S11" s="8">
        <f t="shared" si="4"/>
        <v>0</v>
      </c>
      <c r="T11" s="8">
        <f t="shared" si="5"/>
        <v>0</v>
      </c>
      <c r="U11" s="8">
        <f t="shared" si="6"/>
        <v>0</v>
      </c>
      <c r="V11" s="8">
        <f t="shared" si="7"/>
        <v>0</v>
      </c>
      <c r="W11" s="8">
        <f t="shared" si="8"/>
        <v>0</v>
      </c>
    </row>
    <row r="12" spans="1:25" x14ac:dyDescent="0.3">
      <c r="A12" s="11"/>
      <c r="B12" s="11"/>
      <c r="C12" s="11"/>
      <c r="D12" s="1"/>
      <c r="E12" s="1"/>
      <c r="F12" s="1"/>
      <c r="G12" s="1"/>
      <c r="H12" s="1"/>
      <c r="I12" s="1"/>
      <c r="J12" s="1"/>
      <c r="K12" s="1"/>
      <c r="L12" s="1"/>
      <c r="M12" s="1"/>
      <c r="N12" s="1"/>
      <c r="O12" s="1"/>
      <c r="Q12" s="8">
        <f t="shared" si="3"/>
        <v>0</v>
      </c>
      <c r="S12" s="8">
        <f t="shared" si="4"/>
        <v>0</v>
      </c>
      <c r="T12" s="8">
        <f t="shared" si="5"/>
        <v>0</v>
      </c>
      <c r="U12" s="8">
        <f t="shared" si="6"/>
        <v>0</v>
      </c>
      <c r="V12" s="8">
        <f t="shared" si="7"/>
        <v>0</v>
      </c>
      <c r="W12" s="8">
        <f t="shared" si="8"/>
        <v>0</v>
      </c>
    </row>
    <row r="13" spans="1:25" x14ac:dyDescent="0.3">
      <c r="A13" s="11"/>
      <c r="B13" s="11"/>
      <c r="C13" s="11"/>
      <c r="D13" s="1"/>
      <c r="E13" s="1"/>
      <c r="F13" s="1"/>
      <c r="G13" s="1"/>
      <c r="H13" s="1"/>
      <c r="I13" s="1"/>
      <c r="J13" s="1"/>
      <c r="K13" s="1"/>
      <c r="L13" s="1"/>
      <c r="M13" s="1"/>
      <c r="N13" s="1"/>
      <c r="O13" s="1"/>
      <c r="Q13" s="8">
        <f t="shared" si="3"/>
        <v>0</v>
      </c>
      <c r="S13" s="8">
        <f t="shared" si="4"/>
        <v>0</v>
      </c>
      <c r="T13" s="8">
        <f t="shared" si="5"/>
        <v>0</v>
      </c>
      <c r="U13" s="8">
        <f t="shared" si="6"/>
        <v>0</v>
      </c>
      <c r="V13" s="8">
        <f t="shared" si="7"/>
        <v>0</v>
      </c>
      <c r="W13" s="8">
        <f t="shared" si="8"/>
        <v>0</v>
      </c>
    </row>
    <row r="14" spans="1:25" x14ac:dyDescent="0.3">
      <c r="A14" s="11"/>
      <c r="B14" s="11"/>
      <c r="C14" s="11"/>
      <c r="D14" s="1"/>
      <c r="E14" s="1"/>
      <c r="F14" s="1"/>
      <c r="G14" s="1"/>
      <c r="H14" s="1"/>
      <c r="I14" s="1"/>
      <c r="J14" s="1"/>
      <c r="K14" s="1"/>
      <c r="L14" s="1"/>
      <c r="M14" s="1"/>
      <c r="N14" s="1"/>
      <c r="O14" s="1"/>
      <c r="Q14" s="8">
        <f t="shared" si="3"/>
        <v>0</v>
      </c>
      <c r="S14" s="8">
        <f t="shared" si="4"/>
        <v>0</v>
      </c>
      <c r="T14" s="8">
        <f t="shared" si="5"/>
        <v>0</v>
      </c>
      <c r="U14" s="8">
        <f t="shared" si="6"/>
        <v>0</v>
      </c>
      <c r="V14" s="8">
        <f t="shared" si="7"/>
        <v>0</v>
      </c>
      <c r="W14" s="8">
        <f t="shared" si="8"/>
        <v>0</v>
      </c>
    </row>
    <row r="15" spans="1:25" x14ac:dyDescent="0.3">
      <c r="A15" s="11"/>
      <c r="B15" s="11"/>
      <c r="C15" s="11"/>
      <c r="D15" s="1"/>
      <c r="E15" s="1"/>
      <c r="F15" s="1"/>
      <c r="G15" s="1"/>
      <c r="H15" s="1"/>
      <c r="I15" s="1"/>
      <c r="J15" s="1"/>
      <c r="K15" s="1"/>
      <c r="L15" s="1"/>
      <c r="M15" s="1"/>
      <c r="N15" s="1"/>
      <c r="O15" s="1"/>
      <c r="Q15" s="8">
        <f t="shared" si="3"/>
        <v>0</v>
      </c>
      <c r="S15" s="8">
        <f t="shared" si="4"/>
        <v>0</v>
      </c>
      <c r="T15" s="8">
        <f t="shared" si="5"/>
        <v>0</v>
      </c>
      <c r="U15" s="8">
        <f t="shared" si="6"/>
        <v>0</v>
      </c>
      <c r="V15" s="8">
        <f t="shared" si="7"/>
        <v>0</v>
      </c>
      <c r="W15" s="8">
        <f t="shared" si="8"/>
        <v>0</v>
      </c>
    </row>
    <row r="16" spans="1:25" x14ac:dyDescent="0.3">
      <c r="A16" s="11"/>
      <c r="B16" s="11"/>
      <c r="C16" s="11"/>
      <c r="D16" s="1"/>
      <c r="E16" s="1"/>
      <c r="F16" s="1"/>
      <c r="G16" s="1"/>
      <c r="H16" s="1"/>
      <c r="I16" s="1"/>
      <c r="J16" s="1"/>
      <c r="K16" s="1"/>
      <c r="L16" s="1"/>
      <c r="M16" s="1"/>
      <c r="N16" s="1"/>
      <c r="O16" s="1"/>
      <c r="Q16" s="8">
        <f t="shared" si="3"/>
        <v>0</v>
      </c>
      <c r="S16" s="8">
        <f t="shared" si="4"/>
        <v>0</v>
      </c>
      <c r="T16" s="8">
        <f t="shared" si="5"/>
        <v>0</v>
      </c>
      <c r="U16" s="8">
        <f t="shared" si="6"/>
        <v>0</v>
      </c>
      <c r="V16" s="8">
        <f t="shared" si="7"/>
        <v>0</v>
      </c>
      <c r="W16" s="8">
        <f t="shared" si="8"/>
        <v>0</v>
      </c>
    </row>
    <row r="17" spans="1:23" x14ac:dyDescent="0.3">
      <c r="A17" s="11"/>
      <c r="B17" s="11"/>
      <c r="C17" s="11"/>
      <c r="D17" s="1"/>
      <c r="E17" s="1"/>
      <c r="F17" s="1"/>
      <c r="G17" s="1"/>
      <c r="H17" s="1"/>
      <c r="I17" s="1"/>
      <c r="J17" s="1"/>
      <c r="K17" s="1"/>
      <c r="L17" s="1"/>
      <c r="M17" s="1"/>
      <c r="N17" s="1"/>
      <c r="O17" s="1"/>
      <c r="Q17" s="8">
        <f t="shared" si="3"/>
        <v>0</v>
      </c>
      <c r="S17" s="8">
        <f t="shared" si="4"/>
        <v>0</v>
      </c>
      <c r="T17" s="8">
        <f t="shared" si="5"/>
        <v>0</v>
      </c>
      <c r="U17" s="8">
        <f t="shared" si="6"/>
        <v>0</v>
      </c>
      <c r="V17" s="8">
        <f t="shared" si="7"/>
        <v>0</v>
      </c>
      <c r="W17" s="8">
        <f t="shared" si="8"/>
        <v>0</v>
      </c>
    </row>
    <row r="18" spans="1:23" x14ac:dyDescent="0.3">
      <c r="A18" s="11"/>
      <c r="B18" s="11"/>
      <c r="C18" s="11"/>
      <c r="D18" s="1"/>
      <c r="E18" s="1"/>
      <c r="F18" s="1"/>
      <c r="G18" s="1"/>
      <c r="H18" s="1"/>
      <c r="I18" s="1"/>
      <c r="J18" s="1"/>
      <c r="K18" s="1"/>
      <c r="L18" s="1"/>
      <c r="M18" s="1"/>
      <c r="N18" s="1"/>
      <c r="O18" s="1"/>
      <c r="Q18" s="8">
        <f t="shared" si="3"/>
        <v>0</v>
      </c>
      <c r="S18" s="8">
        <f t="shared" si="4"/>
        <v>0</v>
      </c>
      <c r="T18" s="8">
        <f t="shared" si="5"/>
        <v>0</v>
      </c>
      <c r="U18" s="8">
        <f t="shared" si="6"/>
        <v>0</v>
      </c>
      <c r="V18" s="8">
        <f t="shared" si="7"/>
        <v>0</v>
      </c>
      <c r="W18" s="8">
        <f t="shared" si="8"/>
        <v>0</v>
      </c>
    </row>
    <row r="19" spans="1:23" x14ac:dyDescent="0.3">
      <c r="A19" s="11"/>
      <c r="B19" s="11"/>
      <c r="C19" s="11"/>
      <c r="D19" s="1"/>
      <c r="E19" s="1"/>
      <c r="F19" s="1"/>
      <c r="G19" s="1"/>
      <c r="H19" s="1"/>
      <c r="I19" s="1"/>
      <c r="J19" s="1"/>
      <c r="K19" s="1"/>
      <c r="L19" s="1"/>
      <c r="M19" s="1"/>
      <c r="N19" s="1"/>
      <c r="O19" s="1"/>
      <c r="Q19" s="8">
        <f t="shared" si="3"/>
        <v>0</v>
      </c>
      <c r="S19" s="8">
        <f t="shared" si="4"/>
        <v>0</v>
      </c>
      <c r="T19" s="8">
        <f t="shared" si="5"/>
        <v>0</v>
      </c>
      <c r="U19" s="8">
        <f t="shared" si="6"/>
        <v>0</v>
      </c>
      <c r="V19" s="8">
        <f t="shared" si="7"/>
        <v>0</v>
      </c>
      <c r="W19" s="8">
        <f t="shared" si="8"/>
        <v>0</v>
      </c>
    </row>
    <row r="20" spans="1:23" x14ac:dyDescent="0.3">
      <c r="A20" s="11"/>
      <c r="B20" s="11"/>
      <c r="C20" s="11"/>
      <c r="D20" s="1"/>
      <c r="E20" s="1"/>
      <c r="F20" s="1"/>
      <c r="G20" s="1"/>
      <c r="H20" s="1"/>
      <c r="I20" s="1"/>
      <c r="J20" s="1"/>
      <c r="K20" s="1"/>
      <c r="L20" s="1"/>
      <c r="M20" s="1"/>
      <c r="N20" s="1"/>
      <c r="O20" s="1"/>
      <c r="Q20" s="8">
        <f t="shared" si="3"/>
        <v>0</v>
      </c>
      <c r="S20" s="8">
        <f t="shared" si="4"/>
        <v>0</v>
      </c>
      <c r="T20" s="8">
        <f t="shared" si="5"/>
        <v>0</v>
      </c>
      <c r="U20" s="8">
        <f t="shared" si="6"/>
        <v>0</v>
      </c>
      <c r="V20" s="8">
        <f t="shared" si="7"/>
        <v>0</v>
      </c>
      <c r="W20" s="8">
        <f t="shared" si="8"/>
        <v>0</v>
      </c>
    </row>
    <row r="21" spans="1:23" x14ac:dyDescent="0.3">
      <c r="A21" s="11"/>
      <c r="B21" s="11"/>
      <c r="C21" s="11"/>
      <c r="D21" s="1"/>
      <c r="E21" s="1"/>
      <c r="F21" s="1"/>
      <c r="G21" s="1"/>
      <c r="H21" s="1"/>
      <c r="I21" s="1"/>
      <c r="J21" s="1"/>
      <c r="K21" s="1"/>
      <c r="L21" s="1"/>
      <c r="M21" s="1"/>
      <c r="N21" s="1"/>
      <c r="O21" s="1"/>
      <c r="Q21" s="8">
        <f t="shared" si="3"/>
        <v>0</v>
      </c>
      <c r="S21" s="8">
        <f t="shared" si="4"/>
        <v>0</v>
      </c>
      <c r="T21" s="8">
        <f t="shared" si="5"/>
        <v>0</v>
      </c>
      <c r="U21" s="8">
        <f t="shared" si="6"/>
        <v>0</v>
      </c>
      <c r="V21" s="8">
        <f t="shared" si="7"/>
        <v>0</v>
      </c>
      <c r="W21" s="8">
        <f t="shared" si="8"/>
        <v>0</v>
      </c>
    </row>
    <row r="22" spans="1:23" x14ac:dyDescent="0.3">
      <c r="A22" s="11"/>
      <c r="B22" s="11"/>
      <c r="C22" s="11"/>
      <c r="D22" s="1"/>
      <c r="E22" s="1"/>
      <c r="F22" s="1"/>
      <c r="G22" s="1"/>
      <c r="H22" s="1"/>
      <c r="I22" s="1"/>
      <c r="J22" s="1"/>
      <c r="K22" s="1"/>
      <c r="L22" s="1"/>
      <c r="M22" s="1"/>
      <c r="N22" s="1"/>
      <c r="O22" s="1"/>
      <c r="Q22" s="8">
        <f t="shared" ref="Q22" si="9">IFERROR(SUM(D22:O22),"")</f>
        <v>0</v>
      </c>
      <c r="S22" s="8">
        <f t="shared" si="4"/>
        <v>0</v>
      </c>
      <c r="T22" s="8">
        <f t="shared" si="5"/>
        <v>0</v>
      </c>
      <c r="U22" s="8">
        <f t="shared" si="6"/>
        <v>0</v>
      </c>
      <c r="V22" s="8">
        <f t="shared" si="7"/>
        <v>0</v>
      </c>
      <c r="W22" s="8">
        <f t="shared" si="8"/>
        <v>0</v>
      </c>
    </row>
    <row r="23" spans="1:23" x14ac:dyDescent="0.3">
      <c r="A23" s="11"/>
      <c r="B23" s="11"/>
      <c r="C23" s="11"/>
      <c r="D23" s="1"/>
      <c r="E23" s="1"/>
      <c r="F23" s="1"/>
      <c r="G23" s="1"/>
      <c r="H23" s="1"/>
      <c r="I23" s="1"/>
      <c r="J23" s="1"/>
      <c r="K23" s="1"/>
      <c r="L23" s="1"/>
      <c r="M23" s="1"/>
      <c r="N23" s="1"/>
      <c r="O23" s="1"/>
      <c r="Q23" s="8">
        <f t="shared" si="3"/>
        <v>0</v>
      </c>
      <c r="S23" s="8">
        <f t="shared" si="4"/>
        <v>0</v>
      </c>
      <c r="T23" s="8">
        <f t="shared" si="5"/>
        <v>0</v>
      </c>
      <c r="U23" s="8">
        <f t="shared" si="6"/>
        <v>0</v>
      </c>
      <c r="V23" s="8">
        <f t="shared" si="7"/>
        <v>0</v>
      </c>
      <c r="W23" s="8">
        <f t="shared" si="8"/>
        <v>0</v>
      </c>
    </row>
    <row r="24" spans="1:23" x14ac:dyDescent="0.3">
      <c r="A24" s="11"/>
      <c r="B24" s="11"/>
      <c r="C24" s="11"/>
      <c r="D24" s="1"/>
      <c r="E24" s="1"/>
      <c r="F24" s="1"/>
      <c r="G24" s="1"/>
      <c r="H24" s="1"/>
      <c r="I24" s="1"/>
      <c r="J24" s="1"/>
      <c r="K24" s="1"/>
      <c r="L24" s="1"/>
      <c r="M24" s="1"/>
      <c r="N24" s="1"/>
      <c r="O24" s="1"/>
      <c r="Q24" s="8">
        <f t="shared" si="3"/>
        <v>0</v>
      </c>
      <c r="S24" s="8">
        <f t="shared" si="4"/>
        <v>0</v>
      </c>
      <c r="T24" s="8">
        <f t="shared" si="5"/>
        <v>0</v>
      </c>
      <c r="U24" s="8">
        <f t="shared" si="6"/>
        <v>0</v>
      </c>
      <c r="V24" s="8">
        <f t="shared" si="7"/>
        <v>0</v>
      </c>
      <c r="W24" s="8">
        <f t="shared" si="8"/>
        <v>0</v>
      </c>
    </row>
    <row r="25" spans="1:23" x14ac:dyDescent="0.3">
      <c r="A25" s="11"/>
      <c r="B25" s="11"/>
      <c r="C25" s="11"/>
      <c r="D25" s="1"/>
      <c r="E25" s="1"/>
      <c r="F25" s="1"/>
      <c r="G25" s="1"/>
      <c r="H25" s="1"/>
      <c r="I25" s="1"/>
      <c r="J25" s="1"/>
      <c r="K25" s="1"/>
      <c r="L25" s="1"/>
      <c r="M25" s="1"/>
      <c r="N25" s="1"/>
      <c r="O25" s="1"/>
      <c r="Q25" s="8">
        <f t="shared" si="3"/>
        <v>0</v>
      </c>
      <c r="S25" s="8">
        <f t="shared" si="4"/>
        <v>0</v>
      </c>
      <c r="T25" s="8">
        <f t="shared" si="5"/>
        <v>0</v>
      </c>
      <c r="U25" s="8">
        <f t="shared" si="6"/>
        <v>0</v>
      </c>
      <c r="V25" s="8">
        <f t="shared" si="7"/>
        <v>0</v>
      </c>
      <c r="W25" s="8">
        <f t="shared" si="8"/>
        <v>0</v>
      </c>
    </row>
    <row r="26" spans="1:23" x14ac:dyDescent="0.3">
      <c r="A26" s="11"/>
      <c r="B26" s="11"/>
      <c r="C26" s="11"/>
      <c r="D26" s="1"/>
      <c r="E26" s="1"/>
      <c r="F26" s="1"/>
      <c r="G26" s="1"/>
      <c r="H26" s="1"/>
      <c r="I26" s="1"/>
      <c r="J26" s="1"/>
      <c r="K26" s="1"/>
      <c r="L26" s="1"/>
      <c r="M26" s="1"/>
      <c r="N26" s="1"/>
      <c r="O26" s="1"/>
      <c r="Q26" s="8">
        <f t="shared" si="3"/>
        <v>0</v>
      </c>
      <c r="S26" s="8">
        <f t="shared" si="4"/>
        <v>0</v>
      </c>
      <c r="T26" s="8">
        <f t="shared" si="5"/>
        <v>0</v>
      </c>
      <c r="U26" s="8">
        <f t="shared" si="6"/>
        <v>0</v>
      </c>
      <c r="V26" s="8">
        <f t="shared" si="7"/>
        <v>0</v>
      </c>
      <c r="W26" s="8">
        <f t="shared" si="8"/>
        <v>0</v>
      </c>
    </row>
    <row r="27" spans="1:23" x14ac:dyDescent="0.3">
      <c r="A27" s="11"/>
      <c r="B27" s="11"/>
      <c r="C27" s="11"/>
      <c r="D27" s="1"/>
      <c r="E27" s="1"/>
      <c r="F27" s="1"/>
      <c r="G27" s="1"/>
      <c r="H27" s="1"/>
      <c r="I27" s="1"/>
      <c r="J27" s="1"/>
      <c r="K27" s="1"/>
      <c r="L27" s="1"/>
      <c r="M27" s="1"/>
      <c r="N27" s="1"/>
      <c r="O27" s="1"/>
      <c r="Q27" s="8">
        <f t="shared" si="3"/>
        <v>0</v>
      </c>
      <c r="S27" s="8">
        <f t="shared" si="4"/>
        <v>0</v>
      </c>
      <c r="T27" s="8">
        <f t="shared" si="5"/>
        <v>0</v>
      </c>
      <c r="U27" s="8">
        <f t="shared" si="6"/>
        <v>0</v>
      </c>
      <c r="V27" s="8">
        <f t="shared" si="7"/>
        <v>0</v>
      </c>
      <c r="W27" s="8">
        <f t="shared" si="8"/>
        <v>0</v>
      </c>
    </row>
    <row r="28" spans="1:23" x14ac:dyDescent="0.3">
      <c r="A28" s="11"/>
      <c r="B28" s="11"/>
      <c r="C28" s="11"/>
      <c r="D28" s="1"/>
      <c r="E28" s="1"/>
      <c r="F28" s="1"/>
      <c r="G28" s="1"/>
      <c r="H28" s="1"/>
      <c r="I28" s="1"/>
      <c r="J28" s="1"/>
      <c r="K28" s="1"/>
      <c r="L28" s="1"/>
      <c r="M28" s="1"/>
      <c r="N28" s="1"/>
      <c r="O28" s="1"/>
      <c r="Q28" s="8">
        <f t="shared" si="3"/>
        <v>0</v>
      </c>
      <c r="S28" s="8">
        <f t="shared" si="4"/>
        <v>0</v>
      </c>
      <c r="T28" s="8">
        <f t="shared" si="5"/>
        <v>0</v>
      </c>
      <c r="U28" s="8">
        <f t="shared" si="6"/>
        <v>0</v>
      </c>
      <c r="V28" s="8">
        <f t="shared" si="7"/>
        <v>0</v>
      </c>
      <c r="W28" s="8">
        <f t="shared" si="8"/>
        <v>0</v>
      </c>
    </row>
    <row r="29" spans="1:23" x14ac:dyDescent="0.3">
      <c r="A29" s="11"/>
      <c r="B29" s="11"/>
      <c r="C29" s="11"/>
      <c r="D29" s="1"/>
      <c r="E29" s="1"/>
      <c r="F29" s="1"/>
      <c r="G29" s="1"/>
      <c r="H29" s="1"/>
      <c r="I29" s="1"/>
      <c r="J29" s="1"/>
      <c r="K29" s="1"/>
      <c r="L29" s="1"/>
      <c r="M29" s="1"/>
      <c r="N29" s="1"/>
      <c r="O29" s="1"/>
      <c r="Q29" s="8">
        <f t="shared" ref="Q29" si="10">IFERROR(SUM(D29:O29),"")</f>
        <v>0</v>
      </c>
      <c r="S29" s="8">
        <f t="shared" si="4"/>
        <v>0</v>
      </c>
      <c r="T29" s="8">
        <f t="shared" si="5"/>
        <v>0</v>
      </c>
      <c r="U29" s="8">
        <f t="shared" si="6"/>
        <v>0</v>
      </c>
      <c r="V29" s="8">
        <f t="shared" si="7"/>
        <v>0</v>
      </c>
      <c r="W29" s="8">
        <f t="shared" si="8"/>
        <v>0</v>
      </c>
    </row>
    <row r="30" spans="1:23" x14ac:dyDescent="0.3">
      <c r="A30" s="11"/>
      <c r="B30" s="11"/>
      <c r="C30" s="11"/>
      <c r="D30" s="1"/>
      <c r="E30" s="1"/>
      <c r="F30" s="1"/>
      <c r="G30" s="1"/>
      <c r="H30" s="1"/>
      <c r="I30" s="1"/>
      <c r="J30" s="1"/>
      <c r="K30" s="1"/>
      <c r="L30" s="1"/>
      <c r="M30" s="1"/>
      <c r="N30" s="1"/>
      <c r="O30" s="1"/>
      <c r="Q30" s="8">
        <f t="shared" si="3"/>
        <v>0</v>
      </c>
      <c r="S30" s="8">
        <f t="shared" si="4"/>
        <v>0</v>
      </c>
      <c r="T30" s="8">
        <f t="shared" si="5"/>
        <v>0</v>
      </c>
      <c r="U30" s="8">
        <f t="shared" si="6"/>
        <v>0</v>
      </c>
      <c r="V30" s="8">
        <f t="shared" si="7"/>
        <v>0</v>
      </c>
      <c r="W30" s="8">
        <f t="shared" si="8"/>
        <v>0</v>
      </c>
    </row>
    <row r="31" spans="1:23" x14ac:dyDescent="0.3">
      <c r="A31" s="11"/>
      <c r="B31" s="11"/>
      <c r="C31" s="11"/>
      <c r="D31" s="1"/>
      <c r="E31" s="1"/>
      <c r="F31" s="1"/>
      <c r="G31" s="1"/>
      <c r="H31" s="1"/>
      <c r="I31" s="1"/>
      <c r="J31" s="1"/>
      <c r="K31" s="1"/>
      <c r="L31" s="1"/>
      <c r="M31" s="1"/>
      <c r="N31" s="1"/>
      <c r="O31" s="1"/>
      <c r="Q31" s="8">
        <f t="shared" si="3"/>
        <v>0</v>
      </c>
      <c r="S31" s="8">
        <f t="shared" si="4"/>
        <v>0</v>
      </c>
      <c r="T31" s="8">
        <f t="shared" si="5"/>
        <v>0</v>
      </c>
      <c r="U31" s="8">
        <f t="shared" si="6"/>
        <v>0</v>
      </c>
      <c r="V31" s="8">
        <f t="shared" si="7"/>
        <v>0</v>
      </c>
      <c r="W31" s="8">
        <f t="shared" si="8"/>
        <v>0</v>
      </c>
    </row>
    <row r="32" spans="1:23" x14ac:dyDescent="0.3">
      <c r="A32" s="11"/>
      <c r="B32" s="11"/>
      <c r="C32" s="11"/>
      <c r="D32" s="1"/>
      <c r="E32" s="1"/>
      <c r="F32" s="1"/>
      <c r="G32" s="1"/>
      <c r="H32" s="1"/>
      <c r="I32" s="1"/>
      <c r="J32" s="1"/>
      <c r="K32" s="1"/>
      <c r="L32" s="1"/>
      <c r="M32" s="1"/>
      <c r="N32" s="1"/>
      <c r="O32" s="1"/>
      <c r="Q32" s="8">
        <f t="shared" si="3"/>
        <v>0</v>
      </c>
      <c r="S32" s="8">
        <f t="shared" si="4"/>
        <v>0</v>
      </c>
      <c r="T32" s="8">
        <f t="shared" si="5"/>
        <v>0</v>
      </c>
      <c r="U32" s="8">
        <f t="shared" si="6"/>
        <v>0</v>
      </c>
      <c r="V32" s="8">
        <f t="shared" si="7"/>
        <v>0</v>
      </c>
      <c r="W32" s="8">
        <f t="shared" si="8"/>
        <v>0</v>
      </c>
    </row>
    <row r="33" spans="1:23" x14ac:dyDescent="0.3">
      <c r="A33" s="11"/>
      <c r="B33" s="11"/>
      <c r="C33" s="11"/>
      <c r="D33" s="1"/>
      <c r="E33" s="1"/>
      <c r="F33" s="1"/>
      <c r="G33" s="1"/>
      <c r="H33" s="1"/>
      <c r="I33" s="1"/>
      <c r="J33" s="1"/>
      <c r="K33" s="1"/>
      <c r="L33" s="1"/>
      <c r="M33" s="1"/>
      <c r="N33" s="1"/>
      <c r="O33" s="1"/>
      <c r="Q33" s="8">
        <f t="shared" si="3"/>
        <v>0</v>
      </c>
      <c r="S33" s="8">
        <f t="shared" si="4"/>
        <v>0</v>
      </c>
      <c r="T33" s="8">
        <f t="shared" si="5"/>
        <v>0</v>
      </c>
      <c r="U33" s="8">
        <f t="shared" si="6"/>
        <v>0</v>
      </c>
      <c r="V33" s="8">
        <f t="shared" si="7"/>
        <v>0</v>
      </c>
      <c r="W33" s="8">
        <f t="shared" si="8"/>
        <v>0</v>
      </c>
    </row>
    <row r="34" spans="1:23" x14ac:dyDescent="0.3">
      <c r="A34" s="11"/>
      <c r="B34" s="11"/>
      <c r="C34" s="11"/>
      <c r="D34" s="1"/>
      <c r="E34" s="1"/>
      <c r="F34" s="1"/>
      <c r="G34" s="1"/>
      <c r="H34" s="1"/>
      <c r="I34" s="1"/>
      <c r="J34" s="1"/>
      <c r="K34" s="1"/>
      <c r="L34" s="1"/>
      <c r="M34" s="1"/>
      <c r="N34" s="1"/>
      <c r="O34" s="1"/>
      <c r="Q34" s="8">
        <f t="shared" ref="Q34:Q49" si="11">IFERROR(SUM(D34:O34),"")</f>
        <v>0</v>
      </c>
      <c r="S34" s="8">
        <f t="shared" si="4"/>
        <v>0</v>
      </c>
      <c r="T34" s="8">
        <f t="shared" si="5"/>
        <v>0</v>
      </c>
      <c r="U34" s="8">
        <f t="shared" si="6"/>
        <v>0</v>
      </c>
      <c r="V34" s="8">
        <f t="shared" si="7"/>
        <v>0</v>
      </c>
      <c r="W34" s="8">
        <f t="shared" si="8"/>
        <v>0</v>
      </c>
    </row>
    <row r="35" spans="1:23" x14ac:dyDescent="0.3">
      <c r="A35" s="11"/>
      <c r="B35" s="11"/>
      <c r="C35" s="11"/>
      <c r="D35" s="1"/>
      <c r="E35" s="1"/>
      <c r="F35" s="1"/>
      <c r="G35" s="1"/>
      <c r="H35" s="1"/>
      <c r="I35" s="1"/>
      <c r="J35" s="1"/>
      <c r="K35" s="1"/>
      <c r="L35" s="1"/>
      <c r="M35" s="1"/>
      <c r="N35" s="1"/>
      <c r="O35" s="1"/>
      <c r="Q35" s="8">
        <f t="shared" si="11"/>
        <v>0</v>
      </c>
      <c r="S35" s="8">
        <f t="shared" si="4"/>
        <v>0</v>
      </c>
      <c r="T35" s="8">
        <f t="shared" si="5"/>
        <v>0</v>
      </c>
      <c r="U35" s="8">
        <f t="shared" si="6"/>
        <v>0</v>
      </c>
      <c r="V35" s="8">
        <f t="shared" si="7"/>
        <v>0</v>
      </c>
      <c r="W35" s="8">
        <f t="shared" si="8"/>
        <v>0</v>
      </c>
    </row>
    <row r="36" spans="1:23" x14ac:dyDescent="0.3">
      <c r="A36" s="11"/>
      <c r="B36" s="11"/>
      <c r="C36" s="11"/>
      <c r="D36" s="1"/>
      <c r="E36" s="1"/>
      <c r="F36" s="1"/>
      <c r="G36" s="1"/>
      <c r="H36" s="1"/>
      <c r="I36" s="1"/>
      <c r="J36" s="1"/>
      <c r="K36" s="1"/>
      <c r="L36" s="1"/>
      <c r="M36" s="1"/>
      <c r="N36" s="1"/>
      <c r="O36" s="1"/>
      <c r="Q36" s="8">
        <f t="shared" si="11"/>
        <v>0</v>
      </c>
      <c r="S36" s="8">
        <f t="shared" si="4"/>
        <v>0</v>
      </c>
      <c r="T36" s="8">
        <f t="shared" si="5"/>
        <v>0</v>
      </c>
      <c r="U36" s="8">
        <f t="shared" si="6"/>
        <v>0</v>
      </c>
      <c r="V36" s="8">
        <f t="shared" si="7"/>
        <v>0</v>
      </c>
      <c r="W36" s="8">
        <f t="shared" si="8"/>
        <v>0</v>
      </c>
    </row>
    <row r="37" spans="1:23" x14ac:dyDescent="0.3">
      <c r="A37" s="11"/>
      <c r="B37" s="11"/>
      <c r="C37" s="11"/>
      <c r="D37" s="1"/>
      <c r="E37" s="1"/>
      <c r="F37" s="1"/>
      <c r="G37" s="1"/>
      <c r="H37" s="1"/>
      <c r="I37" s="1"/>
      <c r="J37" s="1"/>
      <c r="K37" s="1"/>
      <c r="L37" s="1"/>
      <c r="M37" s="1"/>
      <c r="N37" s="1"/>
      <c r="O37" s="1"/>
      <c r="Q37" s="8">
        <f t="shared" si="11"/>
        <v>0</v>
      </c>
      <c r="S37" s="8">
        <f t="shared" si="4"/>
        <v>0</v>
      </c>
      <c r="T37" s="8">
        <f t="shared" si="5"/>
        <v>0</v>
      </c>
      <c r="U37" s="8">
        <f t="shared" si="6"/>
        <v>0</v>
      </c>
      <c r="V37" s="8">
        <f t="shared" si="7"/>
        <v>0</v>
      </c>
      <c r="W37" s="8">
        <f t="shared" si="8"/>
        <v>0</v>
      </c>
    </row>
    <row r="38" spans="1:23" x14ac:dyDescent="0.3">
      <c r="A38" s="11"/>
      <c r="B38" s="11"/>
      <c r="C38" s="11"/>
      <c r="D38" s="1"/>
      <c r="E38" s="1"/>
      <c r="F38" s="1"/>
      <c r="G38" s="1"/>
      <c r="H38" s="1"/>
      <c r="I38" s="1"/>
      <c r="J38" s="1"/>
      <c r="K38" s="1"/>
      <c r="L38" s="1"/>
      <c r="M38" s="1"/>
      <c r="N38" s="1"/>
      <c r="O38" s="1"/>
      <c r="Q38" s="8">
        <f t="shared" si="11"/>
        <v>0</v>
      </c>
      <c r="S38" s="8">
        <f t="shared" si="4"/>
        <v>0</v>
      </c>
      <c r="T38" s="8">
        <f t="shared" si="5"/>
        <v>0</v>
      </c>
      <c r="U38" s="8">
        <f t="shared" si="6"/>
        <v>0</v>
      </c>
      <c r="V38" s="8">
        <f t="shared" si="7"/>
        <v>0</v>
      </c>
      <c r="W38" s="8">
        <f t="shared" si="8"/>
        <v>0</v>
      </c>
    </row>
    <row r="39" spans="1:23" x14ac:dyDescent="0.3">
      <c r="A39" s="11"/>
      <c r="B39" s="11"/>
      <c r="C39" s="11"/>
      <c r="D39" s="1"/>
      <c r="E39" s="1"/>
      <c r="F39" s="1"/>
      <c r="G39" s="1"/>
      <c r="H39" s="1"/>
      <c r="I39" s="1"/>
      <c r="J39" s="1"/>
      <c r="K39" s="1"/>
      <c r="L39" s="1"/>
      <c r="M39" s="1"/>
      <c r="N39" s="1"/>
      <c r="O39" s="1"/>
      <c r="Q39" s="8">
        <f t="shared" si="11"/>
        <v>0</v>
      </c>
      <c r="S39" s="8">
        <f t="shared" si="4"/>
        <v>0</v>
      </c>
      <c r="T39" s="8">
        <f t="shared" si="5"/>
        <v>0</v>
      </c>
      <c r="U39" s="8">
        <f t="shared" si="6"/>
        <v>0</v>
      </c>
      <c r="V39" s="8">
        <f t="shared" si="7"/>
        <v>0</v>
      </c>
      <c r="W39" s="8">
        <f t="shared" si="8"/>
        <v>0</v>
      </c>
    </row>
    <row r="40" spans="1:23" x14ac:dyDescent="0.3">
      <c r="A40" s="11"/>
      <c r="B40" s="11"/>
      <c r="C40" s="11"/>
      <c r="D40" s="1"/>
      <c r="E40" s="1"/>
      <c r="F40" s="1"/>
      <c r="G40" s="1"/>
      <c r="H40" s="1"/>
      <c r="I40" s="1"/>
      <c r="J40" s="1"/>
      <c r="K40" s="1"/>
      <c r="L40" s="1"/>
      <c r="M40" s="1"/>
      <c r="N40" s="1"/>
      <c r="O40" s="1"/>
      <c r="Q40" s="8">
        <f t="shared" si="11"/>
        <v>0</v>
      </c>
      <c r="S40" s="8">
        <f t="shared" si="4"/>
        <v>0</v>
      </c>
      <c r="T40" s="8">
        <f t="shared" si="5"/>
        <v>0</v>
      </c>
      <c r="U40" s="8">
        <f t="shared" si="6"/>
        <v>0</v>
      </c>
      <c r="V40" s="8">
        <f t="shared" si="7"/>
        <v>0</v>
      </c>
      <c r="W40" s="8">
        <f t="shared" si="8"/>
        <v>0</v>
      </c>
    </row>
    <row r="41" spans="1:23" x14ac:dyDescent="0.3">
      <c r="A41" s="11"/>
      <c r="B41" s="11"/>
      <c r="C41" s="11"/>
      <c r="D41" s="1"/>
      <c r="E41" s="1"/>
      <c r="F41" s="1"/>
      <c r="G41" s="1"/>
      <c r="H41" s="1"/>
      <c r="I41" s="1"/>
      <c r="J41" s="1"/>
      <c r="K41" s="1"/>
      <c r="L41" s="1"/>
      <c r="M41" s="1"/>
      <c r="N41" s="1"/>
      <c r="O41" s="1"/>
      <c r="Q41" s="8">
        <f t="shared" si="11"/>
        <v>0</v>
      </c>
      <c r="S41" s="8">
        <f t="shared" si="4"/>
        <v>0</v>
      </c>
      <c r="T41" s="8">
        <f t="shared" si="5"/>
        <v>0</v>
      </c>
      <c r="U41" s="8">
        <f t="shared" si="6"/>
        <v>0</v>
      </c>
      <c r="V41" s="8">
        <f t="shared" si="7"/>
        <v>0</v>
      </c>
      <c r="W41" s="8">
        <f t="shared" si="8"/>
        <v>0</v>
      </c>
    </row>
    <row r="42" spans="1:23" x14ac:dyDescent="0.3">
      <c r="A42" s="11"/>
      <c r="B42" s="11"/>
      <c r="C42" s="11"/>
      <c r="D42" s="1"/>
      <c r="E42" s="1"/>
      <c r="F42" s="1"/>
      <c r="G42" s="1"/>
      <c r="H42" s="1"/>
      <c r="I42" s="1"/>
      <c r="J42" s="1"/>
      <c r="K42" s="1"/>
      <c r="L42" s="1"/>
      <c r="M42" s="1"/>
      <c r="N42" s="1"/>
      <c r="O42" s="1"/>
      <c r="Q42" s="8">
        <f t="shared" si="11"/>
        <v>0</v>
      </c>
      <c r="S42" s="8">
        <f t="shared" si="4"/>
        <v>0</v>
      </c>
      <c r="T42" s="8">
        <f t="shared" si="5"/>
        <v>0</v>
      </c>
      <c r="U42" s="8">
        <f t="shared" si="6"/>
        <v>0</v>
      </c>
      <c r="V42" s="8">
        <f t="shared" si="7"/>
        <v>0</v>
      </c>
      <c r="W42" s="8">
        <f t="shared" si="8"/>
        <v>0</v>
      </c>
    </row>
    <row r="43" spans="1:23" x14ac:dyDescent="0.3">
      <c r="A43" s="11"/>
      <c r="B43" s="11"/>
      <c r="C43" s="11"/>
      <c r="D43" s="1"/>
      <c r="E43" s="1"/>
      <c r="F43" s="1"/>
      <c r="G43" s="1"/>
      <c r="H43" s="1"/>
      <c r="I43" s="1"/>
      <c r="J43" s="1"/>
      <c r="K43" s="1"/>
      <c r="L43" s="1"/>
      <c r="M43" s="1"/>
      <c r="N43" s="1"/>
      <c r="O43" s="1"/>
      <c r="Q43" s="8">
        <f t="shared" si="11"/>
        <v>0</v>
      </c>
      <c r="S43" s="8">
        <f t="shared" si="4"/>
        <v>0</v>
      </c>
      <c r="T43" s="8">
        <f t="shared" si="5"/>
        <v>0</v>
      </c>
      <c r="U43" s="8">
        <f t="shared" si="6"/>
        <v>0</v>
      </c>
      <c r="V43" s="8">
        <f t="shared" si="7"/>
        <v>0</v>
      </c>
      <c r="W43" s="8">
        <f t="shared" si="8"/>
        <v>0</v>
      </c>
    </row>
    <row r="44" spans="1:23" x14ac:dyDescent="0.3">
      <c r="A44" s="11"/>
      <c r="B44" s="11"/>
      <c r="C44" s="11"/>
      <c r="D44" s="1"/>
      <c r="E44" s="1"/>
      <c r="F44" s="1"/>
      <c r="G44" s="1"/>
      <c r="H44" s="1"/>
      <c r="I44" s="1"/>
      <c r="J44" s="1"/>
      <c r="K44" s="1"/>
      <c r="L44" s="1"/>
      <c r="M44" s="1"/>
      <c r="N44" s="1"/>
      <c r="O44" s="1"/>
      <c r="Q44" s="8">
        <f t="shared" si="11"/>
        <v>0</v>
      </c>
      <c r="S44" s="8">
        <f t="shared" si="4"/>
        <v>0</v>
      </c>
      <c r="T44" s="8">
        <f t="shared" si="5"/>
        <v>0</v>
      </c>
      <c r="U44" s="8">
        <f t="shared" si="6"/>
        <v>0</v>
      </c>
      <c r="V44" s="8">
        <f t="shared" si="7"/>
        <v>0</v>
      </c>
      <c r="W44" s="8">
        <f t="shared" si="8"/>
        <v>0</v>
      </c>
    </row>
    <row r="45" spans="1:23" x14ac:dyDescent="0.3">
      <c r="A45" s="11"/>
      <c r="B45" s="11"/>
      <c r="C45" s="11"/>
      <c r="D45" s="1"/>
      <c r="E45" s="1"/>
      <c r="F45" s="1"/>
      <c r="G45" s="1"/>
      <c r="H45" s="1"/>
      <c r="I45" s="1"/>
      <c r="J45" s="1"/>
      <c r="K45" s="1"/>
      <c r="L45" s="1"/>
      <c r="M45" s="1"/>
      <c r="N45" s="1"/>
      <c r="O45" s="1"/>
      <c r="Q45" s="8">
        <f t="shared" si="11"/>
        <v>0</v>
      </c>
      <c r="S45" s="8">
        <f t="shared" si="4"/>
        <v>0</v>
      </c>
      <c r="T45" s="8">
        <f t="shared" si="5"/>
        <v>0</v>
      </c>
      <c r="U45" s="8">
        <f t="shared" si="6"/>
        <v>0</v>
      </c>
      <c r="V45" s="8">
        <f t="shared" si="7"/>
        <v>0</v>
      </c>
      <c r="W45" s="8">
        <f t="shared" si="8"/>
        <v>0</v>
      </c>
    </row>
    <row r="46" spans="1:23" x14ac:dyDescent="0.3">
      <c r="A46" s="11"/>
      <c r="B46" s="11"/>
      <c r="C46" s="11"/>
      <c r="D46" s="1"/>
      <c r="E46" s="1"/>
      <c r="F46" s="1"/>
      <c r="G46" s="1"/>
      <c r="H46" s="1"/>
      <c r="I46" s="1"/>
      <c r="J46" s="1"/>
      <c r="K46" s="1"/>
      <c r="L46" s="1"/>
      <c r="M46" s="1"/>
      <c r="N46" s="1"/>
      <c r="O46" s="1"/>
      <c r="Q46" s="8">
        <f t="shared" si="11"/>
        <v>0</v>
      </c>
      <c r="S46" s="8">
        <f t="shared" si="4"/>
        <v>0</v>
      </c>
      <c r="T46" s="8">
        <f t="shared" si="5"/>
        <v>0</v>
      </c>
      <c r="U46" s="8">
        <f t="shared" si="6"/>
        <v>0</v>
      </c>
      <c r="V46" s="8">
        <f t="shared" si="7"/>
        <v>0</v>
      </c>
      <c r="W46" s="8">
        <f t="shared" si="8"/>
        <v>0</v>
      </c>
    </row>
    <row r="47" spans="1:23" x14ac:dyDescent="0.3">
      <c r="A47" s="11"/>
      <c r="B47" s="11"/>
      <c r="C47" s="11"/>
      <c r="D47" s="1"/>
      <c r="E47" s="1"/>
      <c r="F47" s="1"/>
      <c r="G47" s="1"/>
      <c r="H47" s="1"/>
      <c r="I47" s="1"/>
      <c r="J47" s="1"/>
      <c r="K47" s="1"/>
      <c r="L47" s="1"/>
      <c r="M47" s="1"/>
      <c r="N47" s="1"/>
      <c r="O47" s="1"/>
      <c r="Q47" s="8">
        <f t="shared" si="11"/>
        <v>0</v>
      </c>
      <c r="S47" s="8">
        <f t="shared" si="4"/>
        <v>0</v>
      </c>
      <c r="T47" s="8">
        <f t="shared" si="5"/>
        <v>0</v>
      </c>
      <c r="U47" s="8">
        <f t="shared" si="6"/>
        <v>0</v>
      </c>
      <c r="V47" s="8">
        <f t="shared" si="7"/>
        <v>0</v>
      </c>
      <c r="W47" s="8">
        <f t="shared" si="8"/>
        <v>0</v>
      </c>
    </row>
    <row r="48" spans="1:23" x14ac:dyDescent="0.3">
      <c r="A48" s="11"/>
      <c r="B48" s="11"/>
      <c r="C48" s="11"/>
      <c r="D48" s="1"/>
      <c r="E48" s="1"/>
      <c r="F48" s="1"/>
      <c r="G48" s="1"/>
      <c r="H48" s="1"/>
      <c r="I48" s="1"/>
      <c r="J48" s="1"/>
      <c r="K48" s="1"/>
      <c r="L48" s="1"/>
      <c r="M48" s="1"/>
      <c r="N48" s="1"/>
      <c r="O48" s="1"/>
      <c r="Q48" s="8">
        <f t="shared" si="11"/>
        <v>0</v>
      </c>
      <c r="S48" s="8">
        <f t="shared" si="4"/>
        <v>0</v>
      </c>
      <c r="T48" s="8">
        <f t="shared" si="5"/>
        <v>0</v>
      </c>
      <c r="U48" s="8">
        <f t="shared" si="6"/>
        <v>0</v>
      </c>
      <c r="V48" s="8">
        <f t="shared" si="7"/>
        <v>0</v>
      </c>
      <c r="W48" s="8">
        <f t="shared" si="8"/>
        <v>0</v>
      </c>
    </row>
    <row r="49" spans="1:23" x14ac:dyDescent="0.3">
      <c r="A49" s="11"/>
      <c r="B49" s="11"/>
      <c r="C49" s="11"/>
      <c r="D49" s="1"/>
      <c r="E49" s="1"/>
      <c r="F49" s="1"/>
      <c r="G49" s="1"/>
      <c r="H49" s="1"/>
      <c r="I49" s="1"/>
      <c r="J49" s="1"/>
      <c r="K49" s="1"/>
      <c r="L49" s="1"/>
      <c r="M49" s="1"/>
      <c r="N49" s="1"/>
      <c r="O49" s="1"/>
      <c r="Q49" s="8">
        <f t="shared" si="11"/>
        <v>0</v>
      </c>
      <c r="S49" s="8">
        <f t="shared" si="4"/>
        <v>0</v>
      </c>
      <c r="T49" s="8">
        <f t="shared" si="5"/>
        <v>0</v>
      </c>
      <c r="U49" s="8">
        <f t="shared" si="6"/>
        <v>0</v>
      </c>
      <c r="V49" s="8">
        <f t="shared" si="7"/>
        <v>0</v>
      </c>
      <c r="W49" s="8">
        <f t="shared" si="8"/>
        <v>0</v>
      </c>
    </row>
    <row r="50" spans="1:23" x14ac:dyDescent="0.3">
      <c r="A50" s="11"/>
      <c r="B50" s="11"/>
      <c r="C50" s="11"/>
      <c r="D50" s="1"/>
      <c r="E50" s="1"/>
      <c r="F50" s="1"/>
      <c r="G50" s="1"/>
      <c r="H50" s="1"/>
      <c r="I50" s="1"/>
      <c r="J50" s="1"/>
      <c r="K50" s="1"/>
      <c r="L50" s="1"/>
      <c r="M50" s="1"/>
      <c r="N50" s="1"/>
      <c r="O50" s="1"/>
      <c r="Q50" s="8">
        <f t="shared" ref="Q50:Q54" si="12">IFERROR(SUM(D50:O50),"")</f>
        <v>0</v>
      </c>
      <c r="S50" s="8">
        <f t="shared" si="4"/>
        <v>0</v>
      </c>
      <c r="T50" s="8">
        <f t="shared" si="5"/>
        <v>0</v>
      </c>
      <c r="U50" s="8">
        <f t="shared" si="6"/>
        <v>0</v>
      </c>
      <c r="V50" s="8">
        <f t="shared" si="7"/>
        <v>0</v>
      </c>
      <c r="W50" s="8">
        <f t="shared" si="8"/>
        <v>0</v>
      </c>
    </row>
    <row r="51" spans="1:23" x14ac:dyDescent="0.3">
      <c r="A51" s="11"/>
      <c r="B51" s="11"/>
      <c r="C51" s="11"/>
      <c r="D51" s="1"/>
      <c r="E51" s="1"/>
      <c r="F51" s="1"/>
      <c r="G51" s="1"/>
      <c r="H51" s="1"/>
      <c r="I51" s="1"/>
      <c r="J51" s="1"/>
      <c r="K51" s="1"/>
      <c r="L51" s="1"/>
      <c r="M51" s="1"/>
      <c r="N51" s="1"/>
      <c r="O51" s="1"/>
      <c r="Q51" s="8">
        <f t="shared" si="12"/>
        <v>0</v>
      </c>
      <c r="S51" s="8">
        <f t="shared" si="4"/>
        <v>0</v>
      </c>
      <c r="T51" s="8">
        <f t="shared" si="5"/>
        <v>0</v>
      </c>
      <c r="U51" s="8">
        <f t="shared" si="6"/>
        <v>0</v>
      </c>
      <c r="V51" s="8">
        <f t="shared" si="7"/>
        <v>0</v>
      </c>
      <c r="W51" s="8">
        <f t="shared" si="8"/>
        <v>0</v>
      </c>
    </row>
    <row r="52" spans="1:23" x14ac:dyDescent="0.3">
      <c r="A52" s="11"/>
      <c r="B52" s="11"/>
      <c r="C52" s="11"/>
      <c r="D52" s="1"/>
      <c r="E52" s="1"/>
      <c r="F52" s="1"/>
      <c r="G52" s="1"/>
      <c r="H52" s="1"/>
      <c r="I52" s="1"/>
      <c r="J52" s="1"/>
      <c r="K52" s="1"/>
      <c r="L52" s="1"/>
      <c r="M52" s="1"/>
      <c r="N52" s="1"/>
      <c r="O52" s="1"/>
      <c r="Q52" s="8">
        <f t="shared" si="12"/>
        <v>0</v>
      </c>
      <c r="S52" s="8">
        <f t="shared" si="4"/>
        <v>0</v>
      </c>
      <c r="T52" s="8">
        <f t="shared" si="5"/>
        <v>0</v>
      </c>
      <c r="U52" s="8">
        <f t="shared" si="6"/>
        <v>0</v>
      </c>
      <c r="V52" s="8">
        <f t="shared" si="7"/>
        <v>0</v>
      </c>
      <c r="W52" s="8">
        <f t="shared" si="8"/>
        <v>0</v>
      </c>
    </row>
    <row r="53" spans="1:23" x14ac:dyDescent="0.3">
      <c r="A53" s="11"/>
      <c r="B53" s="11"/>
      <c r="C53" s="11"/>
      <c r="D53" s="1"/>
      <c r="E53" s="1"/>
      <c r="F53" s="1"/>
      <c r="G53" s="1"/>
      <c r="H53" s="1"/>
      <c r="I53" s="1"/>
      <c r="J53" s="1"/>
      <c r="K53" s="1"/>
      <c r="L53" s="1"/>
      <c r="M53" s="1"/>
      <c r="N53" s="1"/>
      <c r="O53" s="1"/>
      <c r="Q53" s="8">
        <f t="shared" si="12"/>
        <v>0</v>
      </c>
      <c r="S53" s="8">
        <f t="shared" si="4"/>
        <v>0</v>
      </c>
      <c r="T53" s="8">
        <f t="shared" si="5"/>
        <v>0</v>
      </c>
      <c r="U53" s="8">
        <f t="shared" si="6"/>
        <v>0</v>
      </c>
      <c r="V53" s="8">
        <f t="shared" si="7"/>
        <v>0</v>
      </c>
      <c r="W53" s="8">
        <f t="shared" si="8"/>
        <v>0</v>
      </c>
    </row>
    <row r="54" spans="1:23" x14ac:dyDescent="0.3">
      <c r="A54" s="11"/>
      <c r="B54" s="11"/>
      <c r="C54" s="11"/>
      <c r="D54" s="1"/>
      <c r="E54" s="1"/>
      <c r="F54" s="1"/>
      <c r="G54" s="1"/>
      <c r="H54" s="1"/>
      <c r="I54" s="1"/>
      <c r="J54" s="1"/>
      <c r="K54" s="1"/>
      <c r="L54" s="1"/>
      <c r="M54" s="1"/>
      <c r="N54" s="1"/>
      <c r="O54" s="1"/>
      <c r="Q54" s="8">
        <f t="shared" si="12"/>
        <v>0</v>
      </c>
      <c r="S54" s="8">
        <f t="shared" si="4"/>
        <v>0</v>
      </c>
      <c r="T54" s="8">
        <f t="shared" si="5"/>
        <v>0</v>
      </c>
      <c r="U54" s="8">
        <f t="shared" si="6"/>
        <v>0</v>
      </c>
      <c r="V54" s="8">
        <f t="shared" si="7"/>
        <v>0</v>
      </c>
      <c r="W54" s="8">
        <f t="shared" si="8"/>
        <v>0</v>
      </c>
    </row>
    <row r="55" spans="1:23" x14ac:dyDescent="0.3">
      <c r="A55" s="11"/>
      <c r="B55" s="11"/>
      <c r="C55" s="11"/>
      <c r="D55" s="1"/>
      <c r="E55" s="1"/>
      <c r="F55" s="1"/>
      <c r="G55" s="1"/>
      <c r="H55" s="1"/>
      <c r="I55" s="1"/>
      <c r="J55" s="1"/>
      <c r="K55" s="1"/>
      <c r="L55" s="1"/>
      <c r="M55" s="1"/>
      <c r="N55" s="1"/>
      <c r="O55" s="1"/>
      <c r="Q55" s="8">
        <f t="shared" ref="Q55:Q100" si="13">IFERROR(SUM(D55:O55),"")</f>
        <v>0</v>
      </c>
      <c r="S55" s="8">
        <f t="shared" si="4"/>
        <v>0</v>
      </c>
      <c r="T55" s="8">
        <f t="shared" si="5"/>
        <v>0</v>
      </c>
      <c r="U55" s="8">
        <f t="shared" si="6"/>
        <v>0</v>
      </c>
      <c r="V55" s="8">
        <f t="shared" si="7"/>
        <v>0</v>
      </c>
      <c r="W55" s="8">
        <f t="shared" si="8"/>
        <v>0</v>
      </c>
    </row>
    <row r="56" spans="1:23" x14ac:dyDescent="0.3">
      <c r="A56" s="11"/>
      <c r="B56" s="11"/>
      <c r="C56" s="11"/>
      <c r="D56" s="1"/>
      <c r="E56" s="1"/>
      <c r="F56" s="1"/>
      <c r="G56" s="1"/>
      <c r="H56" s="1"/>
      <c r="I56" s="1"/>
      <c r="J56" s="1"/>
      <c r="K56" s="1"/>
      <c r="L56" s="1"/>
      <c r="M56" s="1"/>
      <c r="N56" s="1"/>
      <c r="O56" s="1"/>
      <c r="Q56" s="8">
        <f t="shared" si="13"/>
        <v>0</v>
      </c>
      <c r="S56" s="8">
        <f t="shared" si="4"/>
        <v>0</v>
      </c>
      <c r="T56" s="8">
        <f t="shared" si="5"/>
        <v>0</v>
      </c>
      <c r="U56" s="8">
        <f t="shared" si="6"/>
        <v>0</v>
      </c>
      <c r="V56" s="8">
        <f t="shared" si="7"/>
        <v>0</v>
      </c>
      <c r="W56" s="8">
        <f t="shared" si="8"/>
        <v>0</v>
      </c>
    </row>
    <row r="57" spans="1:23" x14ac:dyDescent="0.3">
      <c r="A57" s="11"/>
      <c r="B57" s="11"/>
      <c r="C57" s="11"/>
      <c r="D57" s="1"/>
      <c r="E57" s="1"/>
      <c r="F57" s="1"/>
      <c r="G57" s="1"/>
      <c r="H57" s="1"/>
      <c r="I57" s="1"/>
      <c r="J57" s="1"/>
      <c r="K57" s="1"/>
      <c r="L57" s="1"/>
      <c r="M57" s="1"/>
      <c r="N57" s="1"/>
      <c r="O57" s="1"/>
      <c r="Q57" s="8">
        <f t="shared" si="13"/>
        <v>0</v>
      </c>
      <c r="S57" s="8">
        <f t="shared" si="4"/>
        <v>0</v>
      </c>
      <c r="T57" s="8">
        <f t="shared" si="5"/>
        <v>0</v>
      </c>
      <c r="U57" s="8">
        <f t="shared" si="6"/>
        <v>0</v>
      </c>
      <c r="V57" s="8">
        <f t="shared" si="7"/>
        <v>0</v>
      </c>
      <c r="W57" s="8">
        <f t="shared" si="8"/>
        <v>0</v>
      </c>
    </row>
    <row r="58" spans="1:23" x14ac:dyDescent="0.3">
      <c r="A58" s="11"/>
      <c r="B58" s="11"/>
      <c r="C58" s="11"/>
      <c r="D58" s="1"/>
      <c r="E58" s="1"/>
      <c r="F58" s="1"/>
      <c r="G58" s="1"/>
      <c r="H58" s="1"/>
      <c r="I58" s="1"/>
      <c r="J58" s="1"/>
      <c r="K58" s="1"/>
      <c r="L58" s="1"/>
      <c r="M58" s="1"/>
      <c r="N58" s="1"/>
      <c r="O58" s="1"/>
      <c r="Q58" s="8">
        <f t="shared" si="13"/>
        <v>0</v>
      </c>
      <c r="S58" s="8">
        <f t="shared" si="4"/>
        <v>0</v>
      </c>
      <c r="T58" s="8">
        <f t="shared" si="5"/>
        <v>0</v>
      </c>
      <c r="U58" s="8">
        <f t="shared" si="6"/>
        <v>0</v>
      </c>
      <c r="V58" s="8">
        <f t="shared" si="7"/>
        <v>0</v>
      </c>
      <c r="W58" s="8">
        <f t="shared" si="8"/>
        <v>0</v>
      </c>
    </row>
    <row r="59" spans="1:23" x14ac:dyDescent="0.3">
      <c r="A59" s="11"/>
      <c r="B59" s="11"/>
      <c r="C59" s="1"/>
      <c r="D59" s="1"/>
      <c r="E59" s="1"/>
      <c r="F59" s="1"/>
      <c r="G59" s="1"/>
      <c r="H59" s="1"/>
      <c r="I59" s="1"/>
      <c r="J59" s="1"/>
      <c r="K59" s="1"/>
      <c r="L59" s="1"/>
      <c r="M59" s="1"/>
      <c r="N59" s="1"/>
      <c r="O59" s="1"/>
      <c r="Q59" s="8">
        <f>IFERROR(SUM(O59:O59),"")</f>
        <v>0</v>
      </c>
      <c r="S59" s="8">
        <f t="shared" si="4"/>
        <v>0</v>
      </c>
      <c r="T59" s="8">
        <f t="shared" si="5"/>
        <v>0</v>
      </c>
      <c r="U59" s="8">
        <f t="shared" si="6"/>
        <v>0</v>
      </c>
      <c r="V59" s="8">
        <f t="shared" si="7"/>
        <v>0</v>
      </c>
      <c r="W59" s="8">
        <f t="shared" si="8"/>
        <v>0</v>
      </c>
    </row>
    <row r="60" spans="1:23" x14ac:dyDescent="0.3">
      <c r="A60" s="11"/>
      <c r="B60" s="11"/>
      <c r="C60" s="11"/>
      <c r="D60" s="1"/>
      <c r="E60" s="1"/>
      <c r="F60" s="1"/>
      <c r="G60" s="1"/>
      <c r="H60" s="1"/>
      <c r="I60" s="1"/>
      <c r="J60" s="1"/>
      <c r="K60" s="1"/>
      <c r="L60" s="1"/>
      <c r="M60" s="1"/>
      <c r="N60" s="1"/>
      <c r="O60" s="1"/>
      <c r="Q60" s="8">
        <f t="shared" si="13"/>
        <v>0</v>
      </c>
      <c r="S60" s="8">
        <f t="shared" si="4"/>
        <v>0</v>
      </c>
      <c r="T60" s="8">
        <f t="shared" si="5"/>
        <v>0</v>
      </c>
      <c r="U60" s="8">
        <f t="shared" si="6"/>
        <v>0</v>
      </c>
      <c r="V60" s="8">
        <f t="shared" si="7"/>
        <v>0</v>
      </c>
      <c r="W60" s="8">
        <f t="shared" si="8"/>
        <v>0</v>
      </c>
    </row>
    <row r="61" spans="1:23" x14ac:dyDescent="0.3">
      <c r="A61" s="11"/>
      <c r="B61" s="11"/>
      <c r="C61" s="11"/>
      <c r="D61" s="1"/>
      <c r="E61" s="1"/>
      <c r="F61" s="1"/>
      <c r="G61" s="1"/>
      <c r="H61" s="1"/>
      <c r="I61" s="1"/>
      <c r="J61" s="1"/>
      <c r="K61" s="1"/>
      <c r="L61" s="1"/>
      <c r="M61" s="1"/>
      <c r="N61" s="1"/>
      <c r="O61" s="1"/>
      <c r="Q61" s="8">
        <f t="shared" si="13"/>
        <v>0</v>
      </c>
      <c r="S61" s="8">
        <f t="shared" si="4"/>
        <v>0</v>
      </c>
      <c r="T61" s="8">
        <f t="shared" si="5"/>
        <v>0</v>
      </c>
      <c r="U61" s="8">
        <f t="shared" si="6"/>
        <v>0</v>
      </c>
      <c r="V61" s="8">
        <f t="shared" si="7"/>
        <v>0</v>
      </c>
      <c r="W61" s="8">
        <f t="shared" si="8"/>
        <v>0</v>
      </c>
    </row>
    <row r="62" spans="1:23" x14ac:dyDescent="0.3">
      <c r="A62" s="11"/>
      <c r="B62" s="11"/>
      <c r="C62" s="11"/>
      <c r="D62" s="1"/>
      <c r="E62" s="1"/>
      <c r="F62" s="1"/>
      <c r="G62" s="1"/>
      <c r="H62" s="1"/>
      <c r="I62" s="1"/>
      <c r="J62" s="1"/>
      <c r="K62" s="1"/>
      <c r="L62" s="1"/>
      <c r="M62" s="1"/>
      <c r="N62" s="1"/>
      <c r="O62" s="1"/>
      <c r="Q62" s="8">
        <f t="shared" si="13"/>
        <v>0</v>
      </c>
      <c r="S62" s="8">
        <f t="shared" si="4"/>
        <v>0</v>
      </c>
      <c r="T62" s="8">
        <f t="shared" si="5"/>
        <v>0</v>
      </c>
      <c r="U62" s="8">
        <f t="shared" si="6"/>
        <v>0</v>
      </c>
      <c r="V62" s="8">
        <f t="shared" si="7"/>
        <v>0</v>
      </c>
      <c r="W62" s="8">
        <f t="shared" si="8"/>
        <v>0</v>
      </c>
    </row>
    <row r="63" spans="1:23" x14ac:dyDescent="0.3">
      <c r="A63" s="11"/>
      <c r="B63" s="11"/>
      <c r="C63" s="11"/>
      <c r="D63" s="1"/>
      <c r="E63" s="1"/>
      <c r="F63" s="1"/>
      <c r="G63" s="1"/>
      <c r="H63" s="1"/>
      <c r="I63" s="1"/>
      <c r="J63" s="1"/>
      <c r="K63" s="1"/>
      <c r="L63" s="1"/>
      <c r="M63" s="1"/>
      <c r="N63" s="1"/>
      <c r="O63" s="1"/>
      <c r="Q63" s="8">
        <f t="shared" si="13"/>
        <v>0</v>
      </c>
      <c r="S63" s="8">
        <f t="shared" si="4"/>
        <v>0</v>
      </c>
      <c r="T63" s="8">
        <f t="shared" si="5"/>
        <v>0</v>
      </c>
      <c r="U63" s="8">
        <f t="shared" si="6"/>
        <v>0</v>
      </c>
      <c r="V63" s="8">
        <f t="shared" si="7"/>
        <v>0</v>
      </c>
      <c r="W63" s="8">
        <f t="shared" si="8"/>
        <v>0</v>
      </c>
    </row>
    <row r="64" spans="1:23" x14ac:dyDescent="0.3">
      <c r="A64" s="11"/>
      <c r="B64" s="11"/>
      <c r="C64" s="11"/>
      <c r="D64" s="1"/>
      <c r="E64" s="1"/>
      <c r="F64" s="1"/>
      <c r="G64" s="1"/>
      <c r="H64" s="1"/>
      <c r="I64" s="1"/>
      <c r="J64" s="1"/>
      <c r="K64" s="1"/>
      <c r="L64" s="1"/>
      <c r="M64" s="1"/>
      <c r="N64" s="1"/>
      <c r="O64" s="1"/>
      <c r="Q64" s="8">
        <f t="shared" si="13"/>
        <v>0</v>
      </c>
      <c r="S64" s="8">
        <f t="shared" si="4"/>
        <v>0</v>
      </c>
      <c r="T64" s="8">
        <f t="shared" si="5"/>
        <v>0</v>
      </c>
      <c r="U64" s="8">
        <f t="shared" si="6"/>
        <v>0</v>
      </c>
      <c r="V64" s="8">
        <f t="shared" si="7"/>
        <v>0</v>
      </c>
      <c r="W64" s="8">
        <f t="shared" si="8"/>
        <v>0</v>
      </c>
    </row>
    <row r="65" spans="1:23" x14ac:dyDescent="0.3">
      <c r="A65" s="11"/>
      <c r="B65" s="11"/>
      <c r="C65" s="11"/>
      <c r="D65" s="1"/>
      <c r="E65" s="1"/>
      <c r="F65" s="1"/>
      <c r="G65" s="1"/>
      <c r="H65" s="1"/>
      <c r="I65" s="1"/>
      <c r="J65" s="1"/>
      <c r="K65" s="1"/>
      <c r="L65" s="1"/>
      <c r="M65" s="1"/>
      <c r="N65" s="1"/>
      <c r="O65" s="1"/>
      <c r="Q65" s="8">
        <f t="shared" si="13"/>
        <v>0</v>
      </c>
      <c r="S65" s="8">
        <f t="shared" si="4"/>
        <v>0</v>
      </c>
      <c r="T65" s="8">
        <f t="shared" si="5"/>
        <v>0</v>
      </c>
      <c r="U65" s="8">
        <f t="shared" si="6"/>
        <v>0</v>
      </c>
      <c r="V65" s="8">
        <f t="shared" si="7"/>
        <v>0</v>
      </c>
      <c r="W65" s="8">
        <f t="shared" si="8"/>
        <v>0</v>
      </c>
    </row>
    <row r="66" spans="1:23" outlineLevel="1" x14ac:dyDescent="0.3">
      <c r="A66" s="11"/>
      <c r="B66" s="11"/>
      <c r="C66" s="11"/>
      <c r="D66" s="1"/>
      <c r="E66" s="1"/>
      <c r="F66" s="1"/>
      <c r="G66" s="1"/>
      <c r="H66" s="1"/>
      <c r="I66" s="1"/>
      <c r="J66" s="1"/>
      <c r="K66" s="1"/>
      <c r="L66" s="1"/>
      <c r="M66" s="1"/>
      <c r="N66" s="1"/>
      <c r="O66" s="1"/>
      <c r="Q66" s="8">
        <f t="shared" si="13"/>
        <v>0</v>
      </c>
      <c r="S66" s="8">
        <f t="shared" si="4"/>
        <v>0</v>
      </c>
      <c r="T66" s="8">
        <f t="shared" si="5"/>
        <v>0</v>
      </c>
      <c r="U66" s="8">
        <f t="shared" si="6"/>
        <v>0</v>
      </c>
      <c r="V66" s="8">
        <f t="shared" si="7"/>
        <v>0</v>
      </c>
      <c r="W66" s="8">
        <f t="shared" si="8"/>
        <v>0</v>
      </c>
    </row>
    <row r="67" spans="1:23" outlineLevel="1" x14ac:dyDescent="0.3">
      <c r="A67" s="11"/>
      <c r="B67" s="11"/>
      <c r="C67" s="11"/>
      <c r="D67" s="1"/>
      <c r="E67" s="1"/>
      <c r="F67" s="1"/>
      <c r="G67" s="1"/>
      <c r="H67" s="1"/>
      <c r="I67" s="1"/>
      <c r="J67" s="1"/>
      <c r="K67" s="1"/>
      <c r="L67" s="1"/>
      <c r="M67" s="1"/>
      <c r="N67" s="1"/>
      <c r="O67" s="1"/>
      <c r="Q67" s="8">
        <f t="shared" si="13"/>
        <v>0</v>
      </c>
      <c r="S67" s="8">
        <f t="shared" si="4"/>
        <v>0</v>
      </c>
      <c r="T67" s="8">
        <f t="shared" si="5"/>
        <v>0</v>
      </c>
      <c r="U67" s="8">
        <f t="shared" si="6"/>
        <v>0</v>
      </c>
      <c r="V67" s="8">
        <f t="shared" si="7"/>
        <v>0</v>
      </c>
      <c r="W67" s="8">
        <f t="shared" si="8"/>
        <v>0</v>
      </c>
    </row>
    <row r="68" spans="1:23" outlineLevel="1" x14ac:dyDescent="0.3">
      <c r="A68" s="11"/>
      <c r="B68" s="11"/>
      <c r="C68" s="11"/>
      <c r="D68" s="1"/>
      <c r="E68" s="1"/>
      <c r="F68" s="1"/>
      <c r="G68" s="1"/>
      <c r="H68" s="1"/>
      <c r="I68" s="1"/>
      <c r="J68" s="1"/>
      <c r="K68" s="1"/>
      <c r="L68" s="1"/>
      <c r="M68" s="1"/>
      <c r="N68" s="1"/>
      <c r="O68" s="1"/>
      <c r="Q68" s="8">
        <f t="shared" si="13"/>
        <v>0</v>
      </c>
      <c r="S68" s="8">
        <f t="shared" si="4"/>
        <v>0</v>
      </c>
      <c r="T68" s="8">
        <f t="shared" si="5"/>
        <v>0</v>
      </c>
      <c r="U68" s="8">
        <f t="shared" si="6"/>
        <v>0</v>
      </c>
      <c r="V68" s="8">
        <f t="shared" si="7"/>
        <v>0</v>
      </c>
      <c r="W68" s="8">
        <f t="shared" si="8"/>
        <v>0</v>
      </c>
    </row>
    <row r="69" spans="1:23" outlineLevel="1" x14ac:dyDescent="0.3">
      <c r="A69" s="11"/>
      <c r="B69" s="11"/>
      <c r="C69" s="11"/>
      <c r="D69" s="1"/>
      <c r="E69" s="1"/>
      <c r="F69" s="1"/>
      <c r="G69" s="1"/>
      <c r="H69" s="1"/>
      <c r="I69" s="1"/>
      <c r="J69" s="1"/>
      <c r="K69" s="1"/>
      <c r="L69" s="1"/>
      <c r="M69" s="1"/>
      <c r="N69" s="1"/>
      <c r="O69" s="1"/>
      <c r="Q69" s="8">
        <f t="shared" si="13"/>
        <v>0</v>
      </c>
      <c r="S69" s="8">
        <f t="shared" si="4"/>
        <v>0</v>
      </c>
      <c r="T69" s="8">
        <f t="shared" si="5"/>
        <v>0</v>
      </c>
      <c r="U69" s="8">
        <f t="shared" si="6"/>
        <v>0</v>
      </c>
      <c r="V69" s="8">
        <f t="shared" si="7"/>
        <v>0</v>
      </c>
      <c r="W69" s="8">
        <f t="shared" si="8"/>
        <v>0</v>
      </c>
    </row>
    <row r="70" spans="1:23" outlineLevel="1" x14ac:dyDescent="0.3">
      <c r="A70" s="11"/>
      <c r="B70" s="11"/>
      <c r="C70" s="11"/>
      <c r="D70" s="1"/>
      <c r="E70" s="1"/>
      <c r="F70" s="1"/>
      <c r="G70" s="1"/>
      <c r="H70" s="1"/>
      <c r="I70" s="1"/>
      <c r="J70" s="1"/>
      <c r="K70" s="1"/>
      <c r="L70" s="1"/>
      <c r="M70" s="1"/>
      <c r="N70" s="1"/>
      <c r="O70" s="1"/>
      <c r="Q70" s="8">
        <f t="shared" si="13"/>
        <v>0</v>
      </c>
      <c r="S70" s="8">
        <f t="shared" si="4"/>
        <v>0</v>
      </c>
      <c r="T70" s="8">
        <f t="shared" si="5"/>
        <v>0</v>
      </c>
      <c r="U70" s="8">
        <f t="shared" si="6"/>
        <v>0</v>
      </c>
      <c r="V70" s="8">
        <f t="shared" si="7"/>
        <v>0</v>
      </c>
      <c r="W70" s="8">
        <f t="shared" si="8"/>
        <v>0</v>
      </c>
    </row>
    <row r="71" spans="1:23" outlineLevel="1" x14ac:dyDescent="0.3">
      <c r="A71" s="11"/>
      <c r="B71" s="11"/>
      <c r="C71" s="11"/>
      <c r="D71" s="1"/>
      <c r="E71" s="1"/>
      <c r="F71" s="1"/>
      <c r="G71" s="1"/>
      <c r="H71" s="1"/>
      <c r="I71" s="1"/>
      <c r="J71" s="1"/>
      <c r="K71" s="1"/>
      <c r="L71" s="1"/>
      <c r="M71" s="1"/>
      <c r="N71" s="1"/>
      <c r="O71" s="1"/>
      <c r="Q71" s="8">
        <f t="shared" si="13"/>
        <v>0</v>
      </c>
      <c r="S71" s="8">
        <f t="shared" si="4"/>
        <v>0</v>
      </c>
      <c r="T71" s="8">
        <f t="shared" si="5"/>
        <v>0</v>
      </c>
      <c r="U71" s="8">
        <f t="shared" si="6"/>
        <v>0</v>
      </c>
      <c r="V71" s="8">
        <f t="shared" si="7"/>
        <v>0</v>
      </c>
      <c r="W71" s="8">
        <f t="shared" si="8"/>
        <v>0</v>
      </c>
    </row>
    <row r="72" spans="1:23" outlineLevel="1" x14ac:dyDescent="0.3">
      <c r="A72" s="11"/>
      <c r="B72" s="11"/>
      <c r="C72" s="11"/>
      <c r="D72" s="1"/>
      <c r="E72" s="1"/>
      <c r="F72" s="1"/>
      <c r="G72" s="1"/>
      <c r="H72" s="1"/>
      <c r="I72" s="1"/>
      <c r="J72" s="1"/>
      <c r="K72" s="1"/>
      <c r="L72" s="1"/>
      <c r="M72" s="1"/>
      <c r="N72" s="1"/>
      <c r="O72" s="1"/>
      <c r="Q72" s="8">
        <f t="shared" si="13"/>
        <v>0</v>
      </c>
      <c r="S72" s="8">
        <f t="shared" ref="S72:S100" si="14">+SUM(O72)*12</f>
        <v>0</v>
      </c>
      <c r="T72" s="8">
        <f t="shared" ref="T72:T100" si="15">+SUM(M72:O72)*4</f>
        <v>0</v>
      </c>
      <c r="U72" s="8">
        <f t="shared" ref="U72:U100" si="16">+SUM(J72:O72)*2</f>
        <v>0</v>
      </c>
      <c r="V72" s="8">
        <f t="shared" ref="V72:V100" si="17">+SUM(G72:O72)/9*12</f>
        <v>0</v>
      </c>
      <c r="W72" s="8">
        <f t="shared" ref="W72:W100" si="18">+SUM(D72:O72)</f>
        <v>0</v>
      </c>
    </row>
    <row r="73" spans="1:23" outlineLevel="1" x14ac:dyDescent="0.3">
      <c r="A73" s="11"/>
      <c r="B73" s="11"/>
      <c r="C73" s="11"/>
      <c r="D73" s="1"/>
      <c r="E73" s="1"/>
      <c r="F73" s="1"/>
      <c r="G73" s="1"/>
      <c r="H73" s="1"/>
      <c r="I73" s="1"/>
      <c r="J73" s="1"/>
      <c r="K73" s="1"/>
      <c r="L73" s="1"/>
      <c r="M73" s="1"/>
      <c r="N73" s="1"/>
      <c r="O73" s="1"/>
      <c r="Q73" s="8">
        <f t="shared" si="13"/>
        <v>0</v>
      </c>
      <c r="S73" s="8">
        <f t="shared" si="14"/>
        <v>0</v>
      </c>
      <c r="T73" s="8">
        <f t="shared" si="15"/>
        <v>0</v>
      </c>
      <c r="U73" s="8">
        <f t="shared" si="16"/>
        <v>0</v>
      </c>
      <c r="V73" s="8">
        <f t="shared" si="17"/>
        <v>0</v>
      </c>
      <c r="W73" s="8">
        <f t="shared" si="18"/>
        <v>0</v>
      </c>
    </row>
    <row r="74" spans="1:23" outlineLevel="1" x14ac:dyDescent="0.3">
      <c r="A74" s="11"/>
      <c r="B74" s="11"/>
      <c r="C74" s="11"/>
      <c r="D74" s="1"/>
      <c r="E74" s="1"/>
      <c r="F74" s="1"/>
      <c r="G74" s="1"/>
      <c r="H74" s="1"/>
      <c r="I74" s="1"/>
      <c r="J74" s="1"/>
      <c r="K74" s="1"/>
      <c r="L74" s="1"/>
      <c r="M74" s="1"/>
      <c r="N74" s="1"/>
      <c r="O74" s="1"/>
      <c r="Q74" s="8">
        <f t="shared" si="13"/>
        <v>0</v>
      </c>
      <c r="S74" s="8">
        <f t="shared" si="14"/>
        <v>0</v>
      </c>
      <c r="T74" s="8">
        <f t="shared" si="15"/>
        <v>0</v>
      </c>
      <c r="U74" s="8">
        <f t="shared" si="16"/>
        <v>0</v>
      </c>
      <c r="V74" s="8">
        <f t="shared" si="17"/>
        <v>0</v>
      </c>
      <c r="W74" s="8">
        <f t="shared" si="18"/>
        <v>0</v>
      </c>
    </row>
    <row r="75" spans="1:23" outlineLevel="1" x14ac:dyDescent="0.3">
      <c r="A75" s="11"/>
      <c r="B75" s="11"/>
      <c r="C75" s="11"/>
      <c r="D75" s="1"/>
      <c r="E75" s="1"/>
      <c r="F75" s="1"/>
      <c r="G75" s="1"/>
      <c r="H75" s="1"/>
      <c r="I75" s="1"/>
      <c r="J75" s="1"/>
      <c r="K75" s="1"/>
      <c r="L75" s="1"/>
      <c r="M75" s="1"/>
      <c r="N75" s="1"/>
      <c r="O75" s="1"/>
      <c r="Q75" s="8">
        <f t="shared" si="13"/>
        <v>0</v>
      </c>
      <c r="S75" s="8">
        <f t="shared" si="14"/>
        <v>0</v>
      </c>
      <c r="T75" s="8">
        <f t="shared" si="15"/>
        <v>0</v>
      </c>
      <c r="U75" s="8">
        <f t="shared" si="16"/>
        <v>0</v>
      </c>
      <c r="V75" s="8">
        <f t="shared" si="17"/>
        <v>0</v>
      </c>
      <c r="W75" s="8">
        <f t="shared" si="18"/>
        <v>0</v>
      </c>
    </row>
    <row r="76" spans="1:23" outlineLevel="1" x14ac:dyDescent="0.3">
      <c r="A76" s="11"/>
      <c r="B76" s="11"/>
      <c r="C76" s="11"/>
      <c r="D76" s="1"/>
      <c r="E76" s="1"/>
      <c r="F76" s="1"/>
      <c r="G76" s="1"/>
      <c r="H76" s="1"/>
      <c r="I76" s="1"/>
      <c r="J76" s="1"/>
      <c r="K76" s="1"/>
      <c r="L76" s="1"/>
      <c r="M76" s="1"/>
      <c r="N76" s="1"/>
      <c r="O76" s="1"/>
      <c r="Q76" s="8">
        <f t="shared" si="13"/>
        <v>0</v>
      </c>
      <c r="S76" s="8">
        <f t="shared" si="14"/>
        <v>0</v>
      </c>
      <c r="T76" s="8">
        <f t="shared" si="15"/>
        <v>0</v>
      </c>
      <c r="U76" s="8">
        <f t="shared" si="16"/>
        <v>0</v>
      </c>
      <c r="V76" s="8">
        <f t="shared" si="17"/>
        <v>0</v>
      </c>
      <c r="W76" s="8">
        <f t="shared" si="18"/>
        <v>0</v>
      </c>
    </row>
    <row r="77" spans="1:23" outlineLevel="1" x14ac:dyDescent="0.3">
      <c r="A77" s="11"/>
      <c r="B77" s="11"/>
      <c r="C77" s="11"/>
      <c r="D77" s="1"/>
      <c r="E77" s="1"/>
      <c r="F77" s="1"/>
      <c r="G77" s="1"/>
      <c r="H77" s="1"/>
      <c r="I77" s="1"/>
      <c r="J77" s="1"/>
      <c r="K77" s="1"/>
      <c r="L77" s="1"/>
      <c r="M77" s="1"/>
      <c r="N77" s="1"/>
      <c r="O77" s="1"/>
      <c r="Q77" s="8">
        <f t="shared" si="13"/>
        <v>0</v>
      </c>
      <c r="S77" s="8">
        <f t="shared" si="14"/>
        <v>0</v>
      </c>
      <c r="T77" s="8">
        <f t="shared" si="15"/>
        <v>0</v>
      </c>
      <c r="U77" s="8">
        <f t="shared" si="16"/>
        <v>0</v>
      </c>
      <c r="V77" s="8">
        <f t="shared" si="17"/>
        <v>0</v>
      </c>
      <c r="W77" s="8">
        <f t="shared" si="18"/>
        <v>0</v>
      </c>
    </row>
    <row r="78" spans="1:23" outlineLevel="1" x14ac:dyDescent="0.3">
      <c r="A78" s="11"/>
      <c r="B78" s="11"/>
      <c r="C78" s="11"/>
      <c r="D78" s="1"/>
      <c r="E78" s="1"/>
      <c r="F78" s="1"/>
      <c r="G78" s="1"/>
      <c r="H78" s="1"/>
      <c r="I78" s="1"/>
      <c r="J78" s="1"/>
      <c r="K78" s="1"/>
      <c r="L78" s="1"/>
      <c r="M78" s="1"/>
      <c r="N78" s="1"/>
      <c r="O78" s="1"/>
      <c r="Q78" s="8">
        <f t="shared" si="13"/>
        <v>0</v>
      </c>
      <c r="S78" s="8">
        <f t="shared" si="14"/>
        <v>0</v>
      </c>
      <c r="T78" s="8">
        <f t="shared" si="15"/>
        <v>0</v>
      </c>
      <c r="U78" s="8">
        <f t="shared" si="16"/>
        <v>0</v>
      </c>
      <c r="V78" s="8">
        <f t="shared" si="17"/>
        <v>0</v>
      </c>
      <c r="W78" s="8">
        <f t="shared" si="18"/>
        <v>0</v>
      </c>
    </row>
    <row r="79" spans="1:23" outlineLevel="1" x14ac:dyDescent="0.3">
      <c r="A79" s="11"/>
      <c r="B79" s="11"/>
      <c r="C79" s="11"/>
      <c r="D79" s="1"/>
      <c r="E79" s="1"/>
      <c r="F79" s="1"/>
      <c r="G79" s="1"/>
      <c r="H79" s="1"/>
      <c r="I79" s="1"/>
      <c r="J79" s="1"/>
      <c r="K79" s="1"/>
      <c r="L79" s="1"/>
      <c r="M79" s="1"/>
      <c r="N79" s="1"/>
      <c r="O79" s="1"/>
      <c r="Q79" s="8">
        <f t="shared" si="13"/>
        <v>0</v>
      </c>
      <c r="S79" s="8">
        <f t="shared" si="14"/>
        <v>0</v>
      </c>
      <c r="T79" s="8">
        <f t="shared" si="15"/>
        <v>0</v>
      </c>
      <c r="U79" s="8">
        <f t="shared" si="16"/>
        <v>0</v>
      </c>
      <c r="V79" s="8">
        <f t="shared" si="17"/>
        <v>0</v>
      </c>
      <c r="W79" s="8">
        <f t="shared" si="18"/>
        <v>0</v>
      </c>
    </row>
    <row r="80" spans="1:23" outlineLevel="1" x14ac:dyDescent="0.3">
      <c r="A80" s="11"/>
      <c r="B80" s="11"/>
      <c r="C80" s="11"/>
      <c r="D80" s="1"/>
      <c r="E80" s="1"/>
      <c r="F80" s="1"/>
      <c r="G80" s="1"/>
      <c r="H80" s="1"/>
      <c r="I80" s="1"/>
      <c r="J80" s="1"/>
      <c r="K80" s="1"/>
      <c r="L80" s="1"/>
      <c r="M80" s="1"/>
      <c r="N80" s="1"/>
      <c r="O80" s="1"/>
      <c r="Q80" s="8">
        <f t="shared" si="13"/>
        <v>0</v>
      </c>
      <c r="S80" s="8">
        <f t="shared" si="14"/>
        <v>0</v>
      </c>
      <c r="T80" s="8">
        <f t="shared" si="15"/>
        <v>0</v>
      </c>
      <c r="U80" s="8">
        <f t="shared" si="16"/>
        <v>0</v>
      </c>
      <c r="V80" s="8">
        <f t="shared" si="17"/>
        <v>0</v>
      </c>
      <c r="W80" s="8">
        <f t="shared" si="18"/>
        <v>0</v>
      </c>
    </row>
    <row r="81" spans="1:23" outlineLevel="1" x14ac:dyDescent="0.3">
      <c r="A81" s="11"/>
      <c r="B81" s="11"/>
      <c r="C81" s="11"/>
      <c r="D81" s="1"/>
      <c r="E81" s="1"/>
      <c r="F81" s="1"/>
      <c r="G81" s="1"/>
      <c r="H81" s="1"/>
      <c r="I81" s="1"/>
      <c r="J81" s="1"/>
      <c r="K81" s="1"/>
      <c r="L81" s="1"/>
      <c r="M81" s="1"/>
      <c r="N81" s="1"/>
      <c r="O81" s="1"/>
      <c r="Q81" s="8">
        <f t="shared" si="13"/>
        <v>0</v>
      </c>
      <c r="S81" s="8">
        <f t="shared" si="14"/>
        <v>0</v>
      </c>
      <c r="T81" s="8">
        <f t="shared" si="15"/>
        <v>0</v>
      </c>
      <c r="U81" s="8">
        <f t="shared" si="16"/>
        <v>0</v>
      </c>
      <c r="V81" s="8">
        <f t="shared" si="17"/>
        <v>0</v>
      </c>
      <c r="W81" s="8">
        <f t="shared" si="18"/>
        <v>0</v>
      </c>
    </row>
    <row r="82" spans="1:23" outlineLevel="1" x14ac:dyDescent="0.3">
      <c r="A82" s="11"/>
      <c r="B82" s="11"/>
      <c r="C82" s="11"/>
      <c r="D82" s="1"/>
      <c r="E82" s="1"/>
      <c r="F82" s="1"/>
      <c r="G82" s="1"/>
      <c r="H82" s="1"/>
      <c r="I82" s="1"/>
      <c r="J82" s="1"/>
      <c r="K82" s="1"/>
      <c r="L82" s="1"/>
      <c r="M82" s="1"/>
      <c r="N82" s="1"/>
      <c r="O82" s="1"/>
      <c r="Q82" s="8">
        <f t="shared" si="13"/>
        <v>0</v>
      </c>
      <c r="S82" s="8">
        <f t="shared" si="14"/>
        <v>0</v>
      </c>
      <c r="T82" s="8">
        <f t="shared" si="15"/>
        <v>0</v>
      </c>
      <c r="U82" s="8">
        <f t="shared" si="16"/>
        <v>0</v>
      </c>
      <c r="V82" s="8">
        <f t="shared" si="17"/>
        <v>0</v>
      </c>
      <c r="W82" s="8">
        <f t="shared" si="18"/>
        <v>0</v>
      </c>
    </row>
    <row r="83" spans="1:23" outlineLevel="1" x14ac:dyDescent="0.3">
      <c r="A83" s="11"/>
      <c r="B83" s="11"/>
      <c r="C83" s="11"/>
      <c r="D83" s="1"/>
      <c r="E83" s="1"/>
      <c r="F83" s="1"/>
      <c r="G83" s="1"/>
      <c r="H83" s="1"/>
      <c r="I83" s="1"/>
      <c r="J83" s="1"/>
      <c r="K83" s="1"/>
      <c r="L83" s="1"/>
      <c r="M83" s="1"/>
      <c r="N83" s="1"/>
      <c r="O83" s="1"/>
      <c r="Q83" s="8">
        <f t="shared" si="13"/>
        <v>0</v>
      </c>
      <c r="S83" s="8">
        <f t="shared" si="14"/>
        <v>0</v>
      </c>
      <c r="T83" s="8">
        <f t="shared" si="15"/>
        <v>0</v>
      </c>
      <c r="U83" s="8">
        <f t="shared" si="16"/>
        <v>0</v>
      </c>
      <c r="V83" s="8">
        <f t="shared" si="17"/>
        <v>0</v>
      </c>
      <c r="W83" s="8">
        <f t="shared" si="18"/>
        <v>0</v>
      </c>
    </row>
    <row r="84" spans="1:23" outlineLevel="1" x14ac:dyDescent="0.3">
      <c r="A84" s="11"/>
      <c r="B84" s="11"/>
      <c r="C84" s="11"/>
      <c r="D84" s="1"/>
      <c r="E84" s="1"/>
      <c r="F84" s="1"/>
      <c r="G84" s="1"/>
      <c r="H84" s="1"/>
      <c r="I84" s="1"/>
      <c r="J84" s="1"/>
      <c r="K84" s="1"/>
      <c r="L84" s="1"/>
      <c r="M84" s="1"/>
      <c r="N84" s="1"/>
      <c r="O84" s="1"/>
      <c r="Q84" s="8">
        <f t="shared" si="13"/>
        <v>0</v>
      </c>
      <c r="S84" s="8">
        <f t="shared" si="14"/>
        <v>0</v>
      </c>
      <c r="T84" s="8">
        <f t="shared" si="15"/>
        <v>0</v>
      </c>
      <c r="U84" s="8">
        <f t="shared" si="16"/>
        <v>0</v>
      </c>
      <c r="V84" s="8">
        <f t="shared" si="17"/>
        <v>0</v>
      </c>
      <c r="W84" s="8">
        <f t="shared" si="18"/>
        <v>0</v>
      </c>
    </row>
    <row r="85" spans="1:23" outlineLevel="1" x14ac:dyDescent="0.3">
      <c r="A85" s="11"/>
      <c r="B85" s="11"/>
      <c r="C85" s="11"/>
      <c r="D85" s="1"/>
      <c r="E85" s="1"/>
      <c r="F85" s="1"/>
      <c r="G85" s="1"/>
      <c r="H85" s="1"/>
      <c r="I85" s="1"/>
      <c r="J85" s="1"/>
      <c r="K85" s="1"/>
      <c r="L85" s="1"/>
      <c r="M85" s="1"/>
      <c r="N85" s="1"/>
      <c r="O85" s="1"/>
      <c r="Q85" s="8">
        <f t="shared" si="13"/>
        <v>0</v>
      </c>
      <c r="S85" s="8">
        <f t="shared" si="14"/>
        <v>0</v>
      </c>
      <c r="T85" s="8">
        <f t="shared" si="15"/>
        <v>0</v>
      </c>
      <c r="U85" s="8">
        <f t="shared" si="16"/>
        <v>0</v>
      </c>
      <c r="V85" s="8">
        <f t="shared" si="17"/>
        <v>0</v>
      </c>
      <c r="W85" s="8">
        <f t="shared" si="18"/>
        <v>0</v>
      </c>
    </row>
    <row r="86" spans="1:23" outlineLevel="1" x14ac:dyDescent="0.3">
      <c r="A86" s="11"/>
      <c r="B86" s="11"/>
      <c r="C86" s="11"/>
      <c r="D86" s="1"/>
      <c r="E86" s="1"/>
      <c r="F86" s="1"/>
      <c r="G86" s="1"/>
      <c r="H86" s="1"/>
      <c r="I86" s="1"/>
      <c r="J86" s="1"/>
      <c r="K86" s="1"/>
      <c r="L86" s="1"/>
      <c r="M86" s="1"/>
      <c r="N86" s="1"/>
      <c r="O86" s="1"/>
      <c r="Q86" s="8">
        <f t="shared" si="13"/>
        <v>0</v>
      </c>
      <c r="S86" s="8">
        <f t="shared" si="14"/>
        <v>0</v>
      </c>
      <c r="T86" s="8">
        <f t="shared" si="15"/>
        <v>0</v>
      </c>
      <c r="U86" s="8">
        <f t="shared" si="16"/>
        <v>0</v>
      </c>
      <c r="V86" s="8">
        <f t="shared" si="17"/>
        <v>0</v>
      </c>
      <c r="W86" s="8">
        <f t="shared" si="18"/>
        <v>0</v>
      </c>
    </row>
    <row r="87" spans="1:23" outlineLevel="1" x14ac:dyDescent="0.3">
      <c r="A87" s="11"/>
      <c r="B87" s="11"/>
      <c r="C87" s="11"/>
      <c r="D87" s="1"/>
      <c r="E87" s="1"/>
      <c r="F87" s="1"/>
      <c r="G87" s="1"/>
      <c r="H87" s="1"/>
      <c r="I87" s="1"/>
      <c r="J87" s="1"/>
      <c r="K87" s="1"/>
      <c r="L87" s="1"/>
      <c r="M87" s="1"/>
      <c r="N87" s="1"/>
      <c r="O87" s="1"/>
      <c r="Q87" s="8">
        <f t="shared" si="13"/>
        <v>0</v>
      </c>
      <c r="S87" s="8">
        <f t="shared" si="14"/>
        <v>0</v>
      </c>
      <c r="T87" s="8">
        <f t="shared" si="15"/>
        <v>0</v>
      </c>
      <c r="U87" s="8">
        <f t="shared" si="16"/>
        <v>0</v>
      </c>
      <c r="V87" s="8">
        <f t="shared" si="17"/>
        <v>0</v>
      </c>
      <c r="W87" s="8">
        <f t="shared" si="18"/>
        <v>0</v>
      </c>
    </row>
    <row r="88" spans="1:23" outlineLevel="1" x14ac:dyDescent="0.3">
      <c r="A88" s="11"/>
      <c r="B88" s="11"/>
      <c r="C88" s="11"/>
      <c r="D88" s="1"/>
      <c r="E88" s="1"/>
      <c r="F88" s="1"/>
      <c r="G88" s="1"/>
      <c r="H88" s="1"/>
      <c r="I88" s="1"/>
      <c r="J88" s="1"/>
      <c r="K88" s="1"/>
      <c r="L88" s="1"/>
      <c r="M88" s="1"/>
      <c r="N88" s="1"/>
      <c r="O88" s="1"/>
      <c r="Q88" s="8">
        <f t="shared" si="13"/>
        <v>0</v>
      </c>
      <c r="S88" s="8">
        <f t="shared" si="14"/>
        <v>0</v>
      </c>
      <c r="T88" s="8">
        <f t="shared" si="15"/>
        <v>0</v>
      </c>
      <c r="U88" s="8">
        <f t="shared" si="16"/>
        <v>0</v>
      </c>
      <c r="V88" s="8">
        <f t="shared" si="17"/>
        <v>0</v>
      </c>
      <c r="W88" s="8">
        <f t="shared" si="18"/>
        <v>0</v>
      </c>
    </row>
    <row r="89" spans="1:23" outlineLevel="1" x14ac:dyDescent="0.3">
      <c r="A89" s="11"/>
      <c r="B89" s="11"/>
      <c r="C89" s="11"/>
      <c r="D89" s="1"/>
      <c r="E89" s="1"/>
      <c r="F89" s="1"/>
      <c r="G89" s="1"/>
      <c r="H89" s="1"/>
      <c r="I89" s="1"/>
      <c r="J89" s="1"/>
      <c r="K89" s="1"/>
      <c r="L89" s="1"/>
      <c r="M89" s="1"/>
      <c r="N89" s="1"/>
      <c r="O89" s="1"/>
      <c r="Q89" s="8">
        <f t="shared" si="13"/>
        <v>0</v>
      </c>
      <c r="S89" s="8">
        <f t="shared" si="14"/>
        <v>0</v>
      </c>
      <c r="T89" s="8">
        <f t="shared" si="15"/>
        <v>0</v>
      </c>
      <c r="U89" s="8">
        <f t="shared" si="16"/>
        <v>0</v>
      </c>
      <c r="V89" s="8">
        <f t="shared" si="17"/>
        <v>0</v>
      </c>
      <c r="W89" s="8">
        <f t="shared" si="18"/>
        <v>0</v>
      </c>
    </row>
    <row r="90" spans="1:23" outlineLevel="1" x14ac:dyDescent="0.3">
      <c r="A90" s="11"/>
      <c r="B90" s="11"/>
      <c r="C90" s="11"/>
      <c r="D90" s="1"/>
      <c r="E90" s="1"/>
      <c r="F90" s="1"/>
      <c r="G90" s="1"/>
      <c r="H90" s="1"/>
      <c r="I90" s="1"/>
      <c r="J90" s="1"/>
      <c r="K90" s="1"/>
      <c r="L90" s="1"/>
      <c r="M90" s="1"/>
      <c r="N90" s="1"/>
      <c r="O90" s="1"/>
      <c r="Q90" s="8">
        <f t="shared" si="13"/>
        <v>0</v>
      </c>
      <c r="S90" s="8">
        <f t="shared" si="14"/>
        <v>0</v>
      </c>
      <c r="T90" s="8">
        <f t="shared" si="15"/>
        <v>0</v>
      </c>
      <c r="U90" s="8">
        <f t="shared" si="16"/>
        <v>0</v>
      </c>
      <c r="V90" s="8">
        <f t="shared" si="17"/>
        <v>0</v>
      </c>
      <c r="W90" s="8">
        <f t="shared" si="18"/>
        <v>0</v>
      </c>
    </row>
    <row r="91" spans="1:23" outlineLevel="1" x14ac:dyDescent="0.3">
      <c r="A91" s="11"/>
      <c r="B91" s="11"/>
      <c r="C91" s="11"/>
      <c r="D91" s="1"/>
      <c r="E91" s="1"/>
      <c r="F91" s="1"/>
      <c r="G91" s="1"/>
      <c r="H91" s="1"/>
      <c r="I91" s="1"/>
      <c r="J91" s="1"/>
      <c r="K91" s="1"/>
      <c r="L91" s="1"/>
      <c r="M91" s="1"/>
      <c r="N91" s="1"/>
      <c r="O91" s="1"/>
      <c r="Q91" s="8">
        <f t="shared" si="13"/>
        <v>0</v>
      </c>
      <c r="S91" s="8">
        <f t="shared" si="14"/>
        <v>0</v>
      </c>
      <c r="T91" s="8">
        <f t="shared" si="15"/>
        <v>0</v>
      </c>
      <c r="U91" s="8">
        <f t="shared" si="16"/>
        <v>0</v>
      </c>
      <c r="V91" s="8">
        <f t="shared" si="17"/>
        <v>0</v>
      </c>
      <c r="W91" s="8">
        <f t="shared" si="18"/>
        <v>0</v>
      </c>
    </row>
    <row r="92" spans="1:23" outlineLevel="1" x14ac:dyDescent="0.3">
      <c r="A92" s="11"/>
      <c r="B92" s="11"/>
      <c r="C92" s="11"/>
      <c r="D92" s="1"/>
      <c r="E92" s="1"/>
      <c r="F92" s="1"/>
      <c r="G92" s="1"/>
      <c r="H92" s="1"/>
      <c r="I92" s="1"/>
      <c r="J92" s="1"/>
      <c r="K92" s="1"/>
      <c r="L92" s="1"/>
      <c r="M92" s="1"/>
      <c r="N92" s="1"/>
      <c r="O92" s="1"/>
      <c r="Q92" s="8">
        <f t="shared" si="13"/>
        <v>0</v>
      </c>
      <c r="S92" s="8">
        <f t="shared" si="14"/>
        <v>0</v>
      </c>
      <c r="T92" s="8">
        <f t="shared" si="15"/>
        <v>0</v>
      </c>
      <c r="U92" s="8">
        <f t="shared" si="16"/>
        <v>0</v>
      </c>
      <c r="V92" s="8">
        <f t="shared" si="17"/>
        <v>0</v>
      </c>
      <c r="W92" s="8">
        <f t="shared" si="18"/>
        <v>0</v>
      </c>
    </row>
    <row r="93" spans="1:23" outlineLevel="1" x14ac:dyDescent="0.3">
      <c r="A93" s="11"/>
      <c r="B93" s="11"/>
      <c r="C93" s="11"/>
      <c r="D93" s="1"/>
      <c r="E93" s="1"/>
      <c r="F93" s="1"/>
      <c r="G93" s="1"/>
      <c r="H93" s="1"/>
      <c r="I93" s="1"/>
      <c r="J93" s="1"/>
      <c r="K93" s="1"/>
      <c r="L93" s="1"/>
      <c r="M93" s="1"/>
      <c r="N93" s="1"/>
      <c r="O93" s="1"/>
      <c r="Q93" s="8">
        <f t="shared" si="13"/>
        <v>0</v>
      </c>
      <c r="S93" s="8">
        <f t="shared" si="14"/>
        <v>0</v>
      </c>
      <c r="T93" s="8">
        <f t="shared" si="15"/>
        <v>0</v>
      </c>
      <c r="U93" s="8">
        <f t="shared" si="16"/>
        <v>0</v>
      </c>
      <c r="V93" s="8">
        <f t="shared" si="17"/>
        <v>0</v>
      </c>
      <c r="W93" s="8">
        <f t="shared" si="18"/>
        <v>0</v>
      </c>
    </row>
    <row r="94" spans="1:23" outlineLevel="1" x14ac:dyDescent="0.3">
      <c r="A94" s="11"/>
      <c r="B94" s="11"/>
      <c r="C94" s="11"/>
      <c r="D94" s="1"/>
      <c r="E94" s="1"/>
      <c r="F94" s="1"/>
      <c r="G94" s="1"/>
      <c r="H94" s="1"/>
      <c r="I94" s="1"/>
      <c r="J94" s="1"/>
      <c r="K94" s="1"/>
      <c r="L94" s="1"/>
      <c r="M94" s="1"/>
      <c r="N94" s="1"/>
      <c r="O94" s="1"/>
      <c r="Q94" s="8">
        <f t="shared" si="13"/>
        <v>0</v>
      </c>
      <c r="S94" s="8">
        <f t="shared" si="14"/>
        <v>0</v>
      </c>
      <c r="T94" s="8">
        <f t="shared" si="15"/>
        <v>0</v>
      </c>
      <c r="U94" s="8">
        <f t="shared" si="16"/>
        <v>0</v>
      </c>
      <c r="V94" s="8">
        <f t="shared" si="17"/>
        <v>0</v>
      </c>
      <c r="W94" s="8">
        <f t="shared" si="18"/>
        <v>0</v>
      </c>
    </row>
    <row r="95" spans="1:23" outlineLevel="1" x14ac:dyDescent="0.3">
      <c r="A95" s="11"/>
      <c r="B95" s="11"/>
      <c r="C95" s="11"/>
      <c r="D95" s="1"/>
      <c r="E95" s="1"/>
      <c r="F95" s="1"/>
      <c r="G95" s="1"/>
      <c r="H95" s="1"/>
      <c r="I95" s="1"/>
      <c r="J95" s="1"/>
      <c r="K95" s="1"/>
      <c r="L95" s="1"/>
      <c r="M95" s="1"/>
      <c r="N95" s="1"/>
      <c r="O95" s="1"/>
      <c r="Q95" s="8">
        <f t="shared" si="13"/>
        <v>0</v>
      </c>
      <c r="S95" s="8">
        <f t="shared" si="14"/>
        <v>0</v>
      </c>
      <c r="T95" s="8">
        <f t="shared" si="15"/>
        <v>0</v>
      </c>
      <c r="U95" s="8">
        <f t="shared" si="16"/>
        <v>0</v>
      </c>
      <c r="V95" s="8">
        <f t="shared" si="17"/>
        <v>0</v>
      </c>
      <c r="W95" s="8">
        <f t="shared" si="18"/>
        <v>0</v>
      </c>
    </row>
    <row r="96" spans="1:23" outlineLevel="1" x14ac:dyDescent="0.3">
      <c r="A96" s="11"/>
      <c r="B96" s="11"/>
      <c r="C96" s="11"/>
      <c r="D96" s="1"/>
      <c r="E96" s="1"/>
      <c r="F96" s="1"/>
      <c r="G96" s="1"/>
      <c r="H96" s="1"/>
      <c r="I96" s="1"/>
      <c r="J96" s="1"/>
      <c r="K96" s="1"/>
      <c r="L96" s="1"/>
      <c r="M96" s="1"/>
      <c r="N96" s="1"/>
      <c r="O96" s="1"/>
      <c r="Q96" s="8">
        <f t="shared" si="13"/>
        <v>0</v>
      </c>
      <c r="S96" s="8">
        <f t="shared" si="14"/>
        <v>0</v>
      </c>
      <c r="T96" s="8">
        <f t="shared" si="15"/>
        <v>0</v>
      </c>
      <c r="U96" s="8">
        <f t="shared" si="16"/>
        <v>0</v>
      </c>
      <c r="V96" s="8">
        <f t="shared" si="17"/>
        <v>0</v>
      </c>
      <c r="W96" s="8">
        <f t="shared" si="18"/>
        <v>0</v>
      </c>
    </row>
    <row r="97" spans="1:23" outlineLevel="1" x14ac:dyDescent="0.3">
      <c r="A97" s="11"/>
      <c r="B97" s="11"/>
      <c r="C97" s="11"/>
      <c r="D97" s="1"/>
      <c r="E97" s="1"/>
      <c r="F97" s="1"/>
      <c r="G97" s="1"/>
      <c r="H97" s="1"/>
      <c r="I97" s="1"/>
      <c r="J97" s="1"/>
      <c r="K97" s="1"/>
      <c r="L97" s="1"/>
      <c r="M97" s="1"/>
      <c r="N97" s="1"/>
      <c r="O97" s="1"/>
      <c r="Q97" s="8">
        <f t="shared" si="13"/>
        <v>0</v>
      </c>
      <c r="S97" s="8">
        <f t="shared" si="14"/>
        <v>0</v>
      </c>
      <c r="T97" s="8">
        <f t="shared" si="15"/>
        <v>0</v>
      </c>
      <c r="U97" s="8">
        <f t="shared" si="16"/>
        <v>0</v>
      </c>
      <c r="V97" s="8">
        <f t="shared" si="17"/>
        <v>0</v>
      </c>
      <c r="W97" s="8">
        <f t="shared" si="18"/>
        <v>0</v>
      </c>
    </row>
    <row r="98" spans="1:23" outlineLevel="1" x14ac:dyDescent="0.3">
      <c r="A98" s="11"/>
      <c r="B98" s="11"/>
      <c r="C98" s="11"/>
      <c r="D98" s="1"/>
      <c r="E98" s="1"/>
      <c r="F98" s="1"/>
      <c r="G98" s="1"/>
      <c r="H98" s="1"/>
      <c r="I98" s="1"/>
      <c r="J98" s="1"/>
      <c r="K98" s="1"/>
      <c r="L98" s="1"/>
      <c r="M98" s="1"/>
      <c r="N98" s="1"/>
      <c r="O98" s="1"/>
      <c r="Q98" s="8">
        <f t="shared" si="13"/>
        <v>0</v>
      </c>
      <c r="S98" s="8">
        <f t="shared" si="14"/>
        <v>0</v>
      </c>
      <c r="T98" s="8">
        <f t="shared" si="15"/>
        <v>0</v>
      </c>
      <c r="U98" s="8">
        <f t="shared" si="16"/>
        <v>0</v>
      </c>
      <c r="V98" s="8">
        <f t="shared" si="17"/>
        <v>0</v>
      </c>
      <c r="W98" s="8">
        <f t="shared" si="18"/>
        <v>0</v>
      </c>
    </row>
    <row r="99" spans="1:23" outlineLevel="1" x14ac:dyDescent="0.3">
      <c r="A99" s="11"/>
      <c r="B99" s="11"/>
      <c r="C99" s="11"/>
      <c r="D99" s="1"/>
      <c r="E99" s="1"/>
      <c r="F99" s="1"/>
      <c r="G99" s="1"/>
      <c r="H99" s="1"/>
      <c r="I99" s="1"/>
      <c r="J99" s="1"/>
      <c r="K99" s="1"/>
      <c r="L99" s="1"/>
      <c r="M99" s="1"/>
      <c r="N99" s="1"/>
      <c r="O99" s="1"/>
      <c r="Q99" s="8">
        <f t="shared" si="13"/>
        <v>0</v>
      </c>
      <c r="S99" s="8">
        <f t="shared" si="14"/>
        <v>0</v>
      </c>
      <c r="T99" s="8">
        <f t="shared" si="15"/>
        <v>0</v>
      </c>
      <c r="U99" s="8">
        <f t="shared" si="16"/>
        <v>0</v>
      </c>
      <c r="V99" s="8">
        <f t="shared" si="17"/>
        <v>0</v>
      </c>
      <c r="W99" s="8">
        <f t="shared" si="18"/>
        <v>0</v>
      </c>
    </row>
    <row r="100" spans="1:23" x14ac:dyDescent="0.3">
      <c r="A100" s="11"/>
      <c r="B100" s="11"/>
      <c r="C100" s="11"/>
      <c r="D100" s="1"/>
      <c r="E100" s="1"/>
      <c r="F100" s="1"/>
      <c r="G100" s="1"/>
      <c r="H100" s="1"/>
      <c r="I100" s="1"/>
      <c r="J100" s="1"/>
      <c r="K100" s="1"/>
      <c r="L100" s="1"/>
      <c r="M100" s="1"/>
      <c r="N100" s="1"/>
      <c r="O100" s="1"/>
      <c r="Q100" s="8">
        <f t="shared" si="13"/>
        <v>0</v>
      </c>
      <c r="S100" s="8">
        <f t="shared" si="14"/>
        <v>0</v>
      </c>
      <c r="T100" s="8">
        <f t="shared" si="15"/>
        <v>0</v>
      </c>
      <c r="U100" s="8">
        <f t="shared" si="16"/>
        <v>0</v>
      </c>
      <c r="V100" s="8">
        <f t="shared" si="17"/>
        <v>0</v>
      </c>
      <c r="W100" s="8">
        <f t="shared" si="18"/>
        <v>0</v>
      </c>
    </row>
    <row r="101" spans="1:23" x14ac:dyDescent="0.3">
      <c r="B101" s="15" t="s">
        <v>18</v>
      </c>
      <c r="C101" s="15"/>
      <c r="D101" s="16">
        <f t="shared" ref="D101:O101" si="19">+SUM(D7:D100)</f>
        <v>0</v>
      </c>
      <c r="E101" s="16">
        <f t="shared" si="19"/>
        <v>0</v>
      </c>
      <c r="F101" s="16">
        <f t="shared" si="19"/>
        <v>0</v>
      </c>
      <c r="G101" s="16">
        <f t="shared" si="19"/>
        <v>0</v>
      </c>
      <c r="H101" s="16">
        <f t="shared" si="19"/>
        <v>0</v>
      </c>
      <c r="I101" s="16">
        <f t="shared" si="19"/>
        <v>0</v>
      </c>
      <c r="J101" s="16">
        <f t="shared" si="19"/>
        <v>0</v>
      </c>
      <c r="K101" s="16">
        <f t="shared" si="19"/>
        <v>0</v>
      </c>
      <c r="L101" s="16">
        <f t="shared" si="19"/>
        <v>0</v>
      </c>
      <c r="M101" s="16">
        <f t="shared" si="19"/>
        <v>0</v>
      </c>
      <c r="N101" s="16">
        <f t="shared" si="19"/>
        <v>0</v>
      </c>
      <c r="O101" s="16">
        <f t="shared" si="19"/>
        <v>0</v>
      </c>
      <c r="P101" s="17"/>
      <c r="Q101" s="8">
        <f>SUM(Q7:Q100)</f>
        <v>0</v>
      </c>
      <c r="S101" s="8">
        <f t="shared" ref="S101:W101" si="20">SUM(S7:S100)</f>
        <v>0</v>
      </c>
      <c r="T101" s="8">
        <f t="shared" si="20"/>
        <v>0</v>
      </c>
      <c r="U101" s="8">
        <f t="shared" si="20"/>
        <v>0</v>
      </c>
      <c r="V101" s="8">
        <f t="shared" si="20"/>
        <v>0</v>
      </c>
      <c r="W101" s="8">
        <f t="shared" si="20"/>
        <v>0</v>
      </c>
    </row>
    <row r="102" spans="1:23" x14ac:dyDescent="0.3">
      <c r="P102" s="15" t="s">
        <v>19</v>
      </c>
      <c r="Q102" s="17">
        <f>+Q101-SUM(D101:O101)</f>
        <v>0</v>
      </c>
    </row>
    <row r="103" spans="1:23" x14ac:dyDescent="0.3">
      <c r="D103" s="17"/>
      <c r="E103" s="17"/>
      <c r="F103" s="17"/>
      <c r="G103" s="17"/>
      <c r="H103" s="17"/>
      <c r="I103" s="17"/>
      <c r="J103" s="17"/>
      <c r="K103" s="17"/>
      <c r="L103" s="17"/>
      <c r="M103" s="17"/>
      <c r="N103" s="17"/>
      <c r="O103" s="17"/>
      <c r="P103" s="15"/>
      <c r="Q103" s="17"/>
    </row>
    <row r="104" spans="1:23" x14ac:dyDescent="0.3">
      <c r="B104" s="7" t="s">
        <v>0</v>
      </c>
      <c r="D104" s="18">
        <f>+D6</f>
        <v>45808</v>
      </c>
      <c r="E104" s="18">
        <f t="shared" ref="E104:O104" si="21">+E6</f>
        <v>45838</v>
      </c>
      <c r="F104" s="18">
        <f t="shared" si="21"/>
        <v>45869</v>
      </c>
      <c r="G104" s="18">
        <f t="shared" si="21"/>
        <v>45900</v>
      </c>
      <c r="H104" s="18">
        <f t="shared" si="21"/>
        <v>45930</v>
      </c>
      <c r="I104" s="18">
        <f t="shared" si="21"/>
        <v>45961</v>
      </c>
      <c r="J104" s="18">
        <f t="shared" si="21"/>
        <v>45991</v>
      </c>
      <c r="K104" s="18">
        <f t="shared" si="21"/>
        <v>46022</v>
      </c>
      <c r="L104" s="18">
        <f t="shared" si="21"/>
        <v>46053</v>
      </c>
      <c r="M104" s="18">
        <f t="shared" si="21"/>
        <v>46081</v>
      </c>
      <c r="N104" s="18">
        <f t="shared" si="21"/>
        <v>46112</v>
      </c>
      <c r="O104" s="18">
        <f t="shared" si="21"/>
        <v>46113</v>
      </c>
      <c r="S104" s="9" t="s">
        <v>71</v>
      </c>
      <c r="T104" s="9" t="s">
        <v>68</v>
      </c>
      <c r="U104" s="9" t="s">
        <v>69</v>
      </c>
      <c r="V104" s="9" t="s">
        <v>72</v>
      </c>
      <c r="W104" s="9" t="s">
        <v>70</v>
      </c>
    </row>
    <row r="105" spans="1:23" x14ac:dyDescent="0.3">
      <c r="A105" s="11"/>
      <c r="B105" s="11"/>
      <c r="C105" s="11"/>
      <c r="D105" s="1"/>
      <c r="E105" s="1"/>
      <c r="F105" s="1"/>
      <c r="G105" s="1"/>
      <c r="H105" s="1"/>
      <c r="I105" s="1"/>
      <c r="J105" s="1"/>
      <c r="K105" s="1"/>
      <c r="L105" s="1"/>
      <c r="M105" s="1"/>
      <c r="N105" s="1"/>
      <c r="O105" s="1"/>
      <c r="Q105" s="8">
        <f t="shared" ref="Q105:Q168" si="22">IFERROR(SUM(D105:O105),"")</f>
        <v>0</v>
      </c>
      <c r="S105" s="8">
        <f t="shared" ref="S105" si="23">+SUM(O105)*12</f>
        <v>0</v>
      </c>
      <c r="T105" s="8">
        <f t="shared" ref="T105" si="24">+SUM(M105:O105)*4</f>
        <v>0</v>
      </c>
      <c r="U105" s="8">
        <f t="shared" ref="U105" si="25">+SUM(J105:O105)*2</f>
        <v>0</v>
      </c>
      <c r="V105" s="8">
        <f t="shared" ref="V105" si="26">+SUM(G105:O105)/9*12</f>
        <v>0</v>
      </c>
      <c r="W105" s="8">
        <f t="shared" ref="W105" si="27">+SUM(D105:O105)</f>
        <v>0</v>
      </c>
    </row>
    <row r="106" spans="1:23" x14ac:dyDescent="0.3">
      <c r="A106" s="11"/>
      <c r="B106" s="11"/>
      <c r="C106" s="11"/>
      <c r="D106" s="1"/>
      <c r="E106" s="1"/>
      <c r="F106" s="1"/>
      <c r="G106" s="1"/>
      <c r="H106" s="1"/>
      <c r="I106" s="1"/>
      <c r="J106" s="1"/>
      <c r="K106" s="1"/>
      <c r="L106" s="1"/>
      <c r="M106" s="1"/>
      <c r="N106" s="1"/>
      <c r="O106" s="1"/>
      <c r="Q106" s="8">
        <f t="shared" si="22"/>
        <v>0</v>
      </c>
      <c r="S106" s="8">
        <f t="shared" ref="S106:S169" si="28">+SUM(O106)*12</f>
        <v>0</v>
      </c>
      <c r="T106" s="8">
        <f t="shared" ref="T106:T169" si="29">+SUM(M106:O106)*4</f>
        <v>0</v>
      </c>
      <c r="U106" s="8">
        <f t="shared" ref="U106:U169" si="30">+SUM(J106:O106)*2</f>
        <v>0</v>
      </c>
      <c r="V106" s="8">
        <f t="shared" ref="V106:V169" si="31">+SUM(G106:O106)/9*12</f>
        <v>0</v>
      </c>
      <c r="W106" s="8">
        <f t="shared" ref="W106:W169" si="32">+SUM(D106:O106)</f>
        <v>0</v>
      </c>
    </row>
    <row r="107" spans="1:23" x14ac:dyDescent="0.3">
      <c r="A107" s="11"/>
      <c r="B107" s="11"/>
      <c r="C107" s="11"/>
      <c r="D107" s="1"/>
      <c r="E107" s="1"/>
      <c r="F107" s="1"/>
      <c r="G107" s="1"/>
      <c r="H107" s="1"/>
      <c r="I107" s="1"/>
      <c r="J107" s="1"/>
      <c r="K107" s="1"/>
      <c r="L107" s="1"/>
      <c r="M107" s="1"/>
      <c r="N107" s="1"/>
      <c r="O107" s="1"/>
      <c r="Q107" s="8">
        <f t="shared" si="22"/>
        <v>0</v>
      </c>
      <c r="S107" s="8">
        <f t="shared" si="28"/>
        <v>0</v>
      </c>
      <c r="T107" s="8">
        <f t="shared" si="29"/>
        <v>0</v>
      </c>
      <c r="U107" s="8">
        <f t="shared" si="30"/>
        <v>0</v>
      </c>
      <c r="V107" s="8">
        <f t="shared" si="31"/>
        <v>0</v>
      </c>
      <c r="W107" s="8">
        <f t="shared" si="32"/>
        <v>0</v>
      </c>
    </row>
    <row r="108" spans="1:23" x14ac:dyDescent="0.3">
      <c r="A108" s="11"/>
      <c r="B108" s="11"/>
      <c r="C108" s="11"/>
      <c r="D108" s="1"/>
      <c r="E108" s="1"/>
      <c r="F108" s="1"/>
      <c r="G108" s="1"/>
      <c r="H108" s="1"/>
      <c r="I108" s="1"/>
      <c r="J108" s="1"/>
      <c r="K108" s="1"/>
      <c r="L108" s="1"/>
      <c r="M108" s="1"/>
      <c r="N108" s="1"/>
      <c r="O108" s="1"/>
      <c r="Q108" s="8">
        <f t="shared" si="22"/>
        <v>0</v>
      </c>
      <c r="S108" s="8">
        <f t="shared" si="28"/>
        <v>0</v>
      </c>
      <c r="T108" s="8">
        <f t="shared" si="29"/>
        <v>0</v>
      </c>
      <c r="U108" s="8">
        <f t="shared" si="30"/>
        <v>0</v>
      </c>
      <c r="V108" s="8">
        <f t="shared" si="31"/>
        <v>0</v>
      </c>
      <c r="W108" s="8">
        <f t="shared" si="32"/>
        <v>0</v>
      </c>
    </row>
    <row r="109" spans="1:23" x14ac:dyDescent="0.3">
      <c r="A109" s="11"/>
      <c r="B109" s="11"/>
      <c r="C109" s="11"/>
      <c r="D109" s="1"/>
      <c r="E109" s="1"/>
      <c r="F109" s="1"/>
      <c r="G109" s="1"/>
      <c r="H109" s="1"/>
      <c r="I109" s="1"/>
      <c r="J109" s="1"/>
      <c r="K109" s="1"/>
      <c r="L109" s="1"/>
      <c r="M109" s="1"/>
      <c r="N109" s="1"/>
      <c r="O109" s="1"/>
      <c r="Q109" s="8">
        <f t="shared" si="22"/>
        <v>0</v>
      </c>
      <c r="S109" s="8">
        <f t="shared" si="28"/>
        <v>0</v>
      </c>
      <c r="T109" s="8">
        <f t="shared" si="29"/>
        <v>0</v>
      </c>
      <c r="U109" s="8">
        <f t="shared" si="30"/>
        <v>0</v>
      </c>
      <c r="V109" s="8">
        <f t="shared" si="31"/>
        <v>0</v>
      </c>
      <c r="W109" s="8">
        <f t="shared" si="32"/>
        <v>0</v>
      </c>
    </row>
    <row r="110" spans="1:23" x14ac:dyDescent="0.3">
      <c r="A110" s="11"/>
      <c r="B110" s="11"/>
      <c r="C110" s="11"/>
      <c r="D110" s="1"/>
      <c r="E110" s="1"/>
      <c r="F110" s="1"/>
      <c r="G110" s="1"/>
      <c r="H110" s="1"/>
      <c r="I110" s="1"/>
      <c r="J110" s="1"/>
      <c r="K110" s="1"/>
      <c r="L110" s="1"/>
      <c r="M110" s="1"/>
      <c r="N110" s="1"/>
      <c r="O110" s="1"/>
      <c r="Q110" s="8">
        <f t="shared" si="22"/>
        <v>0</v>
      </c>
      <c r="S110" s="8">
        <f t="shared" si="28"/>
        <v>0</v>
      </c>
      <c r="T110" s="8">
        <f t="shared" si="29"/>
        <v>0</v>
      </c>
      <c r="U110" s="8">
        <f t="shared" si="30"/>
        <v>0</v>
      </c>
      <c r="V110" s="8">
        <f t="shared" si="31"/>
        <v>0</v>
      </c>
      <c r="W110" s="8">
        <f t="shared" si="32"/>
        <v>0</v>
      </c>
    </row>
    <row r="111" spans="1:23" x14ac:dyDescent="0.3">
      <c r="A111" s="11"/>
      <c r="B111" s="11"/>
      <c r="C111" s="11"/>
      <c r="D111" s="1"/>
      <c r="E111" s="1"/>
      <c r="F111" s="1"/>
      <c r="G111" s="1"/>
      <c r="H111" s="1"/>
      <c r="I111" s="1"/>
      <c r="J111" s="1"/>
      <c r="K111" s="1"/>
      <c r="L111" s="1"/>
      <c r="M111" s="1"/>
      <c r="N111" s="1"/>
      <c r="O111" s="1"/>
      <c r="Q111" s="8">
        <f t="shared" si="22"/>
        <v>0</v>
      </c>
      <c r="S111" s="8">
        <f t="shared" si="28"/>
        <v>0</v>
      </c>
      <c r="T111" s="8">
        <f t="shared" si="29"/>
        <v>0</v>
      </c>
      <c r="U111" s="8">
        <f t="shared" si="30"/>
        <v>0</v>
      </c>
      <c r="V111" s="8">
        <f t="shared" si="31"/>
        <v>0</v>
      </c>
      <c r="W111" s="8">
        <f t="shared" si="32"/>
        <v>0</v>
      </c>
    </row>
    <row r="112" spans="1:23" x14ac:dyDescent="0.3">
      <c r="A112" s="11"/>
      <c r="B112" s="11"/>
      <c r="C112" s="11"/>
      <c r="D112" s="1"/>
      <c r="E112" s="1"/>
      <c r="F112" s="1"/>
      <c r="G112" s="1"/>
      <c r="H112" s="1"/>
      <c r="I112" s="1"/>
      <c r="J112" s="1"/>
      <c r="K112" s="1"/>
      <c r="L112" s="1"/>
      <c r="M112" s="1"/>
      <c r="N112" s="1"/>
      <c r="O112" s="1"/>
      <c r="Q112" s="8">
        <f t="shared" si="22"/>
        <v>0</v>
      </c>
      <c r="S112" s="8">
        <f t="shared" si="28"/>
        <v>0</v>
      </c>
      <c r="T112" s="8">
        <f t="shared" si="29"/>
        <v>0</v>
      </c>
      <c r="U112" s="8">
        <f t="shared" si="30"/>
        <v>0</v>
      </c>
      <c r="V112" s="8">
        <f t="shared" si="31"/>
        <v>0</v>
      </c>
      <c r="W112" s="8">
        <f t="shared" si="32"/>
        <v>0</v>
      </c>
    </row>
    <row r="113" spans="1:23" x14ac:dyDescent="0.3">
      <c r="A113" s="11"/>
      <c r="B113" s="11"/>
      <c r="C113" s="11"/>
      <c r="D113" s="1"/>
      <c r="E113" s="1"/>
      <c r="F113" s="1"/>
      <c r="G113" s="1"/>
      <c r="H113" s="1"/>
      <c r="I113" s="1"/>
      <c r="J113" s="1"/>
      <c r="K113" s="1"/>
      <c r="L113" s="1"/>
      <c r="M113" s="1"/>
      <c r="N113" s="1"/>
      <c r="O113" s="1"/>
      <c r="Q113" s="8">
        <f t="shared" si="22"/>
        <v>0</v>
      </c>
      <c r="S113" s="8">
        <f t="shared" si="28"/>
        <v>0</v>
      </c>
      <c r="T113" s="8">
        <f t="shared" si="29"/>
        <v>0</v>
      </c>
      <c r="U113" s="8">
        <f t="shared" si="30"/>
        <v>0</v>
      </c>
      <c r="V113" s="8">
        <f t="shared" si="31"/>
        <v>0</v>
      </c>
      <c r="W113" s="8">
        <f t="shared" si="32"/>
        <v>0</v>
      </c>
    </row>
    <row r="114" spans="1:23" x14ac:dyDescent="0.3">
      <c r="A114" s="11"/>
      <c r="B114" s="11"/>
      <c r="C114" s="11"/>
      <c r="D114" s="1"/>
      <c r="E114" s="1"/>
      <c r="F114" s="1"/>
      <c r="G114" s="1"/>
      <c r="H114" s="1"/>
      <c r="I114" s="1"/>
      <c r="J114" s="1"/>
      <c r="K114" s="1"/>
      <c r="L114" s="1"/>
      <c r="M114" s="1"/>
      <c r="N114" s="1"/>
      <c r="O114" s="1"/>
      <c r="Q114" s="8">
        <f t="shared" si="22"/>
        <v>0</v>
      </c>
      <c r="S114" s="8">
        <f t="shared" si="28"/>
        <v>0</v>
      </c>
      <c r="T114" s="8">
        <f t="shared" si="29"/>
        <v>0</v>
      </c>
      <c r="U114" s="8">
        <f t="shared" si="30"/>
        <v>0</v>
      </c>
      <c r="V114" s="8">
        <f t="shared" si="31"/>
        <v>0</v>
      </c>
      <c r="W114" s="8">
        <f t="shared" si="32"/>
        <v>0</v>
      </c>
    </row>
    <row r="115" spans="1:23" x14ac:dyDescent="0.3">
      <c r="A115" s="11"/>
      <c r="B115" s="11"/>
      <c r="C115" s="11"/>
      <c r="D115" s="1"/>
      <c r="E115" s="1"/>
      <c r="F115" s="1"/>
      <c r="G115" s="1"/>
      <c r="H115" s="1"/>
      <c r="I115" s="1"/>
      <c r="J115" s="1"/>
      <c r="K115" s="1"/>
      <c r="L115" s="1"/>
      <c r="M115" s="1"/>
      <c r="N115" s="1"/>
      <c r="O115" s="1"/>
      <c r="Q115" s="8">
        <f t="shared" si="22"/>
        <v>0</v>
      </c>
      <c r="S115" s="8">
        <f t="shared" si="28"/>
        <v>0</v>
      </c>
      <c r="T115" s="8">
        <f t="shared" si="29"/>
        <v>0</v>
      </c>
      <c r="U115" s="8">
        <f t="shared" si="30"/>
        <v>0</v>
      </c>
      <c r="V115" s="8">
        <f t="shared" si="31"/>
        <v>0</v>
      </c>
      <c r="W115" s="8">
        <f t="shared" si="32"/>
        <v>0</v>
      </c>
    </row>
    <row r="116" spans="1:23" x14ac:dyDescent="0.3">
      <c r="A116" s="11"/>
      <c r="B116" s="11"/>
      <c r="C116" s="11"/>
      <c r="D116" s="1"/>
      <c r="E116" s="1"/>
      <c r="F116" s="1"/>
      <c r="G116" s="1"/>
      <c r="H116" s="1"/>
      <c r="I116" s="1"/>
      <c r="J116" s="1"/>
      <c r="K116" s="1"/>
      <c r="L116" s="1"/>
      <c r="M116" s="1"/>
      <c r="N116" s="1"/>
      <c r="O116" s="1"/>
      <c r="Q116" s="8">
        <f t="shared" si="22"/>
        <v>0</v>
      </c>
      <c r="S116" s="8">
        <f t="shared" si="28"/>
        <v>0</v>
      </c>
      <c r="T116" s="8">
        <f t="shared" si="29"/>
        <v>0</v>
      </c>
      <c r="U116" s="8">
        <f t="shared" si="30"/>
        <v>0</v>
      </c>
      <c r="V116" s="8">
        <f t="shared" si="31"/>
        <v>0</v>
      </c>
      <c r="W116" s="8">
        <f t="shared" si="32"/>
        <v>0</v>
      </c>
    </row>
    <row r="117" spans="1:23" x14ac:dyDescent="0.3">
      <c r="A117" s="11"/>
      <c r="B117" s="11"/>
      <c r="C117" s="11"/>
      <c r="D117" s="1"/>
      <c r="E117" s="1"/>
      <c r="F117" s="1"/>
      <c r="G117" s="1"/>
      <c r="H117" s="1"/>
      <c r="I117" s="1"/>
      <c r="J117" s="1"/>
      <c r="K117" s="1"/>
      <c r="L117" s="1"/>
      <c r="M117" s="1"/>
      <c r="N117" s="1"/>
      <c r="O117" s="1"/>
      <c r="Q117" s="8">
        <f t="shared" si="22"/>
        <v>0</v>
      </c>
      <c r="S117" s="8">
        <f t="shared" si="28"/>
        <v>0</v>
      </c>
      <c r="T117" s="8">
        <f t="shared" si="29"/>
        <v>0</v>
      </c>
      <c r="U117" s="8">
        <f t="shared" si="30"/>
        <v>0</v>
      </c>
      <c r="V117" s="8">
        <f t="shared" si="31"/>
        <v>0</v>
      </c>
      <c r="W117" s="8">
        <f t="shared" si="32"/>
        <v>0</v>
      </c>
    </row>
    <row r="118" spans="1:23" x14ac:dyDescent="0.3">
      <c r="A118" s="11"/>
      <c r="B118" s="11"/>
      <c r="C118" s="11"/>
      <c r="D118" s="1"/>
      <c r="E118" s="1"/>
      <c r="F118" s="1"/>
      <c r="G118" s="1"/>
      <c r="H118" s="1"/>
      <c r="I118" s="1"/>
      <c r="J118" s="1"/>
      <c r="K118" s="1"/>
      <c r="L118" s="1"/>
      <c r="M118" s="1"/>
      <c r="N118" s="1"/>
      <c r="O118" s="1"/>
      <c r="Q118" s="8">
        <f t="shared" si="22"/>
        <v>0</v>
      </c>
      <c r="S118" s="8">
        <f t="shared" si="28"/>
        <v>0</v>
      </c>
      <c r="T118" s="8">
        <f t="shared" si="29"/>
        <v>0</v>
      </c>
      <c r="U118" s="8">
        <f t="shared" si="30"/>
        <v>0</v>
      </c>
      <c r="V118" s="8">
        <f t="shared" si="31"/>
        <v>0</v>
      </c>
      <c r="W118" s="8">
        <f t="shared" si="32"/>
        <v>0</v>
      </c>
    </row>
    <row r="119" spans="1:23" x14ac:dyDescent="0.3">
      <c r="A119" s="11"/>
      <c r="B119" s="11"/>
      <c r="C119" s="11"/>
      <c r="D119" s="1"/>
      <c r="E119" s="1"/>
      <c r="F119" s="1"/>
      <c r="G119" s="1"/>
      <c r="H119" s="1"/>
      <c r="I119" s="1"/>
      <c r="J119" s="1"/>
      <c r="K119" s="1"/>
      <c r="L119" s="1"/>
      <c r="M119" s="1"/>
      <c r="N119" s="1"/>
      <c r="O119" s="1"/>
      <c r="Q119" s="8">
        <f t="shared" si="22"/>
        <v>0</v>
      </c>
      <c r="S119" s="8">
        <f t="shared" si="28"/>
        <v>0</v>
      </c>
      <c r="T119" s="8">
        <f t="shared" si="29"/>
        <v>0</v>
      </c>
      <c r="U119" s="8">
        <f t="shared" si="30"/>
        <v>0</v>
      </c>
      <c r="V119" s="8">
        <f t="shared" si="31"/>
        <v>0</v>
      </c>
      <c r="W119" s="8">
        <f t="shared" si="32"/>
        <v>0</v>
      </c>
    </row>
    <row r="120" spans="1:23" x14ac:dyDescent="0.3">
      <c r="A120" s="11"/>
      <c r="B120" s="11"/>
      <c r="C120" s="11"/>
      <c r="D120" s="1"/>
      <c r="E120" s="1"/>
      <c r="F120" s="1"/>
      <c r="G120" s="1"/>
      <c r="H120" s="1"/>
      <c r="I120" s="1"/>
      <c r="J120" s="1"/>
      <c r="K120" s="1"/>
      <c r="L120" s="1"/>
      <c r="M120" s="1"/>
      <c r="N120" s="1"/>
      <c r="O120" s="1"/>
      <c r="Q120" s="8">
        <f t="shared" si="22"/>
        <v>0</v>
      </c>
      <c r="S120" s="8">
        <f t="shared" si="28"/>
        <v>0</v>
      </c>
      <c r="T120" s="8">
        <f t="shared" si="29"/>
        <v>0</v>
      </c>
      <c r="U120" s="8">
        <f t="shared" si="30"/>
        <v>0</v>
      </c>
      <c r="V120" s="8">
        <f t="shared" si="31"/>
        <v>0</v>
      </c>
      <c r="W120" s="8">
        <f t="shared" si="32"/>
        <v>0</v>
      </c>
    </row>
    <row r="121" spans="1:23" x14ac:dyDescent="0.3">
      <c r="A121" s="11"/>
      <c r="B121" s="11"/>
      <c r="C121" s="11"/>
      <c r="D121" s="1"/>
      <c r="E121" s="1"/>
      <c r="F121" s="1"/>
      <c r="G121" s="1"/>
      <c r="H121" s="1"/>
      <c r="I121" s="1"/>
      <c r="J121" s="1"/>
      <c r="K121" s="1"/>
      <c r="L121" s="1"/>
      <c r="M121" s="1"/>
      <c r="N121" s="1"/>
      <c r="O121" s="1"/>
      <c r="Q121" s="8">
        <f t="shared" si="22"/>
        <v>0</v>
      </c>
      <c r="S121" s="8">
        <f t="shared" si="28"/>
        <v>0</v>
      </c>
      <c r="T121" s="8">
        <f t="shared" si="29"/>
        <v>0</v>
      </c>
      <c r="U121" s="8">
        <f t="shared" si="30"/>
        <v>0</v>
      </c>
      <c r="V121" s="8">
        <f t="shared" si="31"/>
        <v>0</v>
      </c>
      <c r="W121" s="8">
        <f t="shared" si="32"/>
        <v>0</v>
      </c>
    </row>
    <row r="122" spans="1:23" x14ac:dyDescent="0.3">
      <c r="A122" s="11"/>
      <c r="B122" s="11"/>
      <c r="C122" s="11"/>
      <c r="D122" s="1"/>
      <c r="E122" s="1"/>
      <c r="F122" s="1"/>
      <c r="G122" s="1"/>
      <c r="H122" s="1"/>
      <c r="I122" s="1"/>
      <c r="J122" s="1"/>
      <c r="K122" s="1"/>
      <c r="L122" s="1"/>
      <c r="M122" s="1"/>
      <c r="N122" s="1"/>
      <c r="O122" s="1"/>
      <c r="Q122" s="8">
        <f t="shared" si="22"/>
        <v>0</v>
      </c>
      <c r="S122" s="8">
        <f t="shared" si="28"/>
        <v>0</v>
      </c>
      <c r="T122" s="8">
        <f t="shared" si="29"/>
        <v>0</v>
      </c>
      <c r="U122" s="8">
        <f t="shared" si="30"/>
        <v>0</v>
      </c>
      <c r="V122" s="8">
        <f t="shared" si="31"/>
        <v>0</v>
      </c>
      <c r="W122" s="8">
        <f t="shared" si="32"/>
        <v>0</v>
      </c>
    </row>
    <row r="123" spans="1:23" x14ac:dyDescent="0.3">
      <c r="A123" s="11"/>
      <c r="B123" s="11"/>
      <c r="C123" s="11"/>
      <c r="D123" s="1"/>
      <c r="E123" s="1"/>
      <c r="F123" s="1"/>
      <c r="G123" s="1"/>
      <c r="H123" s="1"/>
      <c r="I123" s="1"/>
      <c r="J123" s="1"/>
      <c r="K123" s="1"/>
      <c r="L123" s="1"/>
      <c r="M123" s="1"/>
      <c r="N123" s="1"/>
      <c r="O123" s="1"/>
      <c r="Q123" s="8">
        <f t="shared" si="22"/>
        <v>0</v>
      </c>
      <c r="S123" s="8">
        <f t="shared" si="28"/>
        <v>0</v>
      </c>
      <c r="T123" s="8">
        <f t="shared" si="29"/>
        <v>0</v>
      </c>
      <c r="U123" s="8">
        <f t="shared" si="30"/>
        <v>0</v>
      </c>
      <c r="V123" s="8">
        <f t="shared" si="31"/>
        <v>0</v>
      </c>
      <c r="W123" s="8">
        <f t="shared" si="32"/>
        <v>0</v>
      </c>
    </row>
    <row r="124" spans="1:23" x14ac:dyDescent="0.3">
      <c r="A124" s="11"/>
      <c r="B124" s="11"/>
      <c r="C124" s="11"/>
      <c r="D124" s="1"/>
      <c r="E124" s="1"/>
      <c r="F124" s="1"/>
      <c r="G124" s="1"/>
      <c r="H124" s="1"/>
      <c r="I124" s="1"/>
      <c r="J124" s="1"/>
      <c r="K124" s="1"/>
      <c r="L124" s="1"/>
      <c r="M124" s="1"/>
      <c r="N124" s="1"/>
      <c r="O124" s="1"/>
      <c r="Q124" s="8">
        <f t="shared" si="22"/>
        <v>0</v>
      </c>
      <c r="S124" s="8">
        <f t="shared" si="28"/>
        <v>0</v>
      </c>
      <c r="T124" s="8">
        <f t="shared" si="29"/>
        <v>0</v>
      </c>
      <c r="U124" s="8">
        <f t="shared" si="30"/>
        <v>0</v>
      </c>
      <c r="V124" s="8">
        <f t="shared" si="31"/>
        <v>0</v>
      </c>
      <c r="W124" s="8">
        <f t="shared" si="32"/>
        <v>0</v>
      </c>
    </row>
    <row r="125" spans="1:23" x14ac:dyDescent="0.3">
      <c r="A125" s="11"/>
      <c r="B125" s="11"/>
      <c r="C125" s="11"/>
      <c r="D125" s="1"/>
      <c r="E125" s="1"/>
      <c r="F125" s="1"/>
      <c r="G125" s="1"/>
      <c r="H125" s="1"/>
      <c r="I125" s="1"/>
      <c r="J125" s="1"/>
      <c r="K125" s="1"/>
      <c r="L125" s="1"/>
      <c r="M125" s="1"/>
      <c r="N125" s="1"/>
      <c r="O125" s="1"/>
      <c r="Q125" s="8">
        <f t="shared" si="22"/>
        <v>0</v>
      </c>
      <c r="S125" s="8">
        <f t="shared" si="28"/>
        <v>0</v>
      </c>
      <c r="T125" s="8">
        <f t="shared" si="29"/>
        <v>0</v>
      </c>
      <c r="U125" s="8">
        <f t="shared" si="30"/>
        <v>0</v>
      </c>
      <c r="V125" s="8">
        <f t="shared" si="31"/>
        <v>0</v>
      </c>
      <c r="W125" s="8">
        <f t="shared" si="32"/>
        <v>0</v>
      </c>
    </row>
    <row r="126" spans="1:23" x14ac:dyDescent="0.3">
      <c r="A126" s="11"/>
      <c r="B126" s="11"/>
      <c r="C126" s="11"/>
      <c r="D126" s="1"/>
      <c r="E126" s="1"/>
      <c r="F126" s="1"/>
      <c r="G126" s="1"/>
      <c r="H126" s="1"/>
      <c r="I126" s="1"/>
      <c r="J126" s="1"/>
      <c r="K126" s="1"/>
      <c r="L126" s="1"/>
      <c r="M126" s="1"/>
      <c r="N126" s="1"/>
      <c r="O126" s="1"/>
      <c r="Q126" s="8">
        <f t="shared" si="22"/>
        <v>0</v>
      </c>
      <c r="S126" s="8">
        <f t="shared" si="28"/>
        <v>0</v>
      </c>
      <c r="T126" s="8">
        <f t="shared" si="29"/>
        <v>0</v>
      </c>
      <c r="U126" s="8">
        <f t="shared" si="30"/>
        <v>0</v>
      </c>
      <c r="V126" s="8">
        <f t="shared" si="31"/>
        <v>0</v>
      </c>
      <c r="W126" s="8">
        <f t="shared" si="32"/>
        <v>0</v>
      </c>
    </row>
    <row r="127" spans="1:23" x14ac:dyDescent="0.3">
      <c r="A127" s="11"/>
      <c r="B127" s="11"/>
      <c r="C127" s="11"/>
      <c r="D127" s="1"/>
      <c r="E127" s="1"/>
      <c r="F127" s="1"/>
      <c r="G127" s="1"/>
      <c r="H127" s="1"/>
      <c r="I127" s="1"/>
      <c r="J127" s="1"/>
      <c r="K127" s="1"/>
      <c r="L127" s="1"/>
      <c r="M127" s="1"/>
      <c r="N127" s="1"/>
      <c r="O127" s="1"/>
      <c r="Q127" s="8">
        <f t="shared" si="22"/>
        <v>0</v>
      </c>
      <c r="S127" s="8">
        <f t="shared" si="28"/>
        <v>0</v>
      </c>
      <c r="T127" s="8">
        <f t="shared" si="29"/>
        <v>0</v>
      </c>
      <c r="U127" s="8">
        <f t="shared" si="30"/>
        <v>0</v>
      </c>
      <c r="V127" s="8">
        <f t="shared" si="31"/>
        <v>0</v>
      </c>
      <c r="W127" s="8">
        <f t="shared" si="32"/>
        <v>0</v>
      </c>
    </row>
    <row r="128" spans="1:23" x14ac:dyDescent="0.3">
      <c r="A128" s="11"/>
      <c r="B128" s="11"/>
      <c r="C128" s="11"/>
      <c r="D128" s="1"/>
      <c r="E128" s="1"/>
      <c r="F128" s="1"/>
      <c r="G128" s="1"/>
      <c r="H128" s="1"/>
      <c r="I128" s="1"/>
      <c r="J128" s="1"/>
      <c r="K128" s="1"/>
      <c r="L128" s="1"/>
      <c r="M128" s="1"/>
      <c r="N128" s="1"/>
      <c r="O128" s="1"/>
      <c r="Q128" s="8">
        <f t="shared" si="22"/>
        <v>0</v>
      </c>
      <c r="S128" s="8">
        <f t="shared" si="28"/>
        <v>0</v>
      </c>
      <c r="T128" s="8">
        <f t="shared" si="29"/>
        <v>0</v>
      </c>
      <c r="U128" s="8">
        <f t="shared" si="30"/>
        <v>0</v>
      </c>
      <c r="V128" s="8">
        <f t="shared" si="31"/>
        <v>0</v>
      </c>
      <c r="W128" s="8">
        <f t="shared" si="32"/>
        <v>0</v>
      </c>
    </row>
    <row r="129" spans="1:23" x14ac:dyDescent="0.3">
      <c r="A129" s="11"/>
      <c r="B129" s="11"/>
      <c r="C129" s="11"/>
      <c r="D129" s="1"/>
      <c r="E129" s="1"/>
      <c r="F129" s="1"/>
      <c r="G129" s="1"/>
      <c r="H129" s="1"/>
      <c r="I129" s="1"/>
      <c r="J129" s="1"/>
      <c r="K129" s="1"/>
      <c r="L129" s="1"/>
      <c r="M129" s="1"/>
      <c r="N129" s="1"/>
      <c r="O129" s="1"/>
      <c r="Q129" s="8">
        <f t="shared" si="22"/>
        <v>0</v>
      </c>
      <c r="S129" s="8">
        <f t="shared" si="28"/>
        <v>0</v>
      </c>
      <c r="T129" s="8">
        <f t="shared" si="29"/>
        <v>0</v>
      </c>
      <c r="U129" s="8">
        <f t="shared" si="30"/>
        <v>0</v>
      </c>
      <c r="V129" s="8">
        <f t="shared" si="31"/>
        <v>0</v>
      </c>
      <c r="W129" s="8">
        <f t="shared" si="32"/>
        <v>0</v>
      </c>
    </row>
    <row r="130" spans="1:23" x14ac:dyDescent="0.3">
      <c r="A130" s="11"/>
      <c r="B130" s="11"/>
      <c r="C130" s="11"/>
      <c r="D130" s="1"/>
      <c r="E130" s="1"/>
      <c r="F130" s="1"/>
      <c r="G130" s="1"/>
      <c r="H130" s="1"/>
      <c r="I130" s="1"/>
      <c r="J130" s="1"/>
      <c r="K130" s="1"/>
      <c r="L130" s="1"/>
      <c r="M130" s="1"/>
      <c r="N130" s="1"/>
      <c r="O130" s="1"/>
      <c r="Q130" s="8">
        <f t="shared" si="22"/>
        <v>0</v>
      </c>
      <c r="S130" s="8">
        <f t="shared" si="28"/>
        <v>0</v>
      </c>
      <c r="T130" s="8">
        <f t="shared" si="29"/>
        <v>0</v>
      </c>
      <c r="U130" s="8">
        <f t="shared" si="30"/>
        <v>0</v>
      </c>
      <c r="V130" s="8">
        <f t="shared" si="31"/>
        <v>0</v>
      </c>
      <c r="W130" s="8">
        <f t="shared" si="32"/>
        <v>0</v>
      </c>
    </row>
    <row r="131" spans="1:23" x14ac:dyDescent="0.3">
      <c r="A131" s="11"/>
      <c r="B131" s="11"/>
      <c r="C131" s="11"/>
      <c r="D131" s="1"/>
      <c r="E131" s="1"/>
      <c r="F131" s="1"/>
      <c r="G131" s="1"/>
      <c r="H131" s="1"/>
      <c r="I131" s="1"/>
      <c r="J131" s="1"/>
      <c r="K131" s="1"/>
      <c r="L131" s="1"/>
      <c r="M131" s="1"/>
      <c r="N131" s="1"/>
      <c r="O131" s="1"/>
      <c r="Q131" s="8">
        <f t="shared" si="22"/>
        <v>0</v>
      </c>
      <c r="S131" s="8">
        <f t="shared" si="28"/>
        <v>0</v>
      </c>
      <c r="T131" s="8">
        <f t="shared" si="29"/>
        <v>0</v>
      </c>
      <c r="U131" s="8">
        <f t="shared" si="30"/>
        <v>0</v>
      </c>
      <c r="V131" s="8">
        <f t="shared" si="31"/>
        <v>0</v>
      </c>
      <c r="W131" s="8">
        <f t="shared" si="32"/>
        <v>0</v>
      </c>
    </row>
    <row r="132" spans="1:23" x14ac:dyDescent="0.3">
      <c r="A132" s="11"/>
      <c r="B132" s="11"/>
      <c r="C132" s="11"/>
      <c r="D132" s="1"/>
      <c r="E132" s="1"/>
      <c r="F132" s="1"/>
      <c r="G132" s="1"/>
      <c r="H132" s="1"/>
      <c r="I132" s="1"/>
      <c r="J132" s="1"/>
      <c r="K132" s="1"/>
      <c r="L132" s="1"/>
      <c r="M132" s="1"/>
      <c r="N132" s="1"/>
      <c r="O132" s="1"/>
      <c r="Q132" s="8">
        <f t="shared" si="22"/>
        <v>0</v>
      </c>
      <c r="S132" s="8">
        <f t="shared" si="28"/>
        <v>0</v>
      </c>
      <c r="T132" s="8">
        <f t="shared" si="29"/>
        <v>0</v>
      </c>
      <c r="U132" s="8">
        <f t="shared" si="30"/>
        <v>0</v>
      </c>
      <c r="V132" s="8">
        <f t="shared" si="31"/>
        <v>0</v>
      </c>
      <c r="W132" s="8">
        <f t="shared" si="32"/>
        <v>0</v>
      </c>
    </row>
    <row r="133" spans="1:23" x14ac:dyDescent="0.3">
      <c r="A133" s="11"/>
      <c r="B133" s="11"/>
      <c r="C133" s="11"/>
      <c r="D133" s="1"/>
      <c r="E133" s="1"/>
      <c r="F133" s="1"/>
      <c r="G133" s="1"/>
      <c r="H133" s="1"/>
      <c r="I133" s="1"/>
      <c r="J133" s="1"/>
      <c r="K133" s="1"/>
      <c r="L133" s="1"/>
      <c r="M133" s="1"/>
      <c r="N133" s="1"/>
      <c r="O133" s="1"/>
      <c r="Q133" s="8">
        <f t="shared" si="22"/>
        <v>0</v>
      </c>
      <c r="S133" s="8">
        <f t="shared" si="28"/>
        <v>0</v>
      </c>
      <c r="T133" s="8">
        <f t="shared" si="29"/>
        <v>0</v>
      </c>
      <c r="U133" s="8">
        <f t="shared" si="30"/>
        <v>0</v>
      </c>
      <c r="V133" s="8">
        <f t="shared" si="31"/>
        <v>0</v>
      </c>
      <c r="W133" s="8">
        <f t="shared" si="32"/>
        <v>0</v>
      </c>
    </row>
    <row r="134" spans="1:23" x14ac:dyDescent="0.3">
      <c r="A134" s="11"/>
      <c r="B134" s="11"/>
      <c r="C134" s="11"/>
      <c r="D134" s="1"/>
      <c r="E134" s="1"/>
      <c r="F134" s="1"/>
      <c r="G134" s="1"/>
      <c r="H134" s="1"/>
      <c r="I134" s="1"/>
      <c r="J134" s="1"/>
      <c r="K134" s="1"/>
      <c r="L134" s="1"/>
      <c r="M134" s="1"/>
      <c r="N134" s="1"/>
      <c r="O134" s="1"/>
      <c r="Q134" s="8">
        <f t="shared" si="22"/>
        <v>0</v>
      </c>
      <c r="S134" s="8">
        <f t="shared" si="28"/>
        <v>0</v>
      </c>
      <c r="T134" s="8">
        <f t="shared" si="29"/>
        <v>0</v>
      </c>
      <c r="U134" s="8">
        <f t="shared" si="30"/>
        <v>0</v>
      </c>
      <c r="V134" s="8">
        <f t="shared" si="31"/>
        <v>0</v>
      </c>
      <c r="W134" s="8">
        <f t="shared" si="32"/>
        <v>0</v>
      </c>
    </row>
    <row r="135" spans="1:23" x14ac:dyDescent="0.3">
      <c r="A135" s="11"/>
      <c r="B135" s="11"/>
      <c r="C135" s="11"/>
      <c r="D135" s="1"/>
      <c r="E135" s="1"/>
      <c r="F135" s="1"/>
      <c r="G135" s="1"/>
      <c r="H135" s="1"/>
      <c r="I135" s="1"/>
      <c r="J135" s="1"/>
      <c r="K135" s="1"/>
      <c r="L135" s="1"/>
      <c r="M135" s="1"/>
      <c r="N135" s="1"/>
      <c r="O135" s="1"/>
      <c r="Q135" s="8">
        <f t="shared" si="22"/>
        <v>0</v>
      </c>
      <c r="S135" s="8">
        <f t="shared" si="28"/>
        <v>0</v>
      </c>
      <c r="T135" s="8">
        <f t="shared" si="29"/>
        <v>0</v>
      </c>
      <c r="U135" s="8">
        <f t="shared" si="30"/>
        <v>0</v>
      </c>
      <c r="V135" s="8">
        <f t="shared" si="31"/>
        <v>0</v>
      </c>
      <c r="W135" s="8">
        <f t="shared" si="32"/>
        <v>0</v>
      </c>
    </row>
    <row r="136" spans="1:23" x14ac:dyDescent="0.3">
      <c r="A136" s="11"/>
      <c r="B136" s="11"/>
      <c r="C136" s="11"/>
      <c r="D136" s="1"/>
      <c r="E136" s="1"/>
      <c r="F136" s="1"/>
      <c r="G136" s="1"/>
      <c r="H136" s="1"/>
      <c r="I136" s="1"/>
      <c r="J136" s="1"/>
      <c r="K136" s="1"/>
      <c r="L136" s="1"/>
      <c r="M136" s="1"/>
      <c r="N136" s="1"/>
      <c r="O136" s="1"/>
      <c r="Q136" s="8">
        <f t="shared" si="22"/>
        <v>0</v>
      </c>
      <c r="S136" s="8">
        <f t="shared" si="28"/>
        <v>0</v>
      </c>
      <c r="T136" s="8">
        <f t="shared" si="29"/>
        <v>0</v>
      </c>
      <c r="U136" s="8">
        <f t="shared" si="30"/>
        <v>0</v>
      </c>
      <c r="V136" s="8">
        <f t="shared" si="31"/>
        <v>0</v>
      </c>
      <c r="W136" s="8">
        <f t="shared" si="32"/>
        <v>0</v>
      </c>
    </row>
    <row r="137" spans="1:23" x14ac:dyDescent="0.3">
      <c r="A137" s="11"/>
      <c r="B137" s="11"/>
      <c r="C137" s="11"/>
      <c r="D137" s="1"/>
      <c r="E137" s="1"/>
      <c r="F137" s="1"/>
      <c r="G137" s="1"/>
      <c r="H137" s="1"/>
      <c r="I137" s="1"/>
      <c r="J137" s="1"/>
      <c r="K137" s="1"/>
      <c r="L137" s="1"/>
      <c r="M137" s="1"/>
      <c r="N137" s="1"/>
      <c r="O137" s="1"/>
      <c r="Q137" s="8">
        <f t="shared" si="22"/>
        <v>0</v>
      </c>
      <c r="S137" s="8">
        <f t="shared" si="28"/>
        <v>0</v>
      </c>
      <c r="T137" s="8">
        <f t="shared" si="29"/>
        <v>0</v>
      </c>
      <c r="U137" s="8">
        <f t="shared" si="30"/>
        <v>0</v>
      </c>
      <c r="V137" s="8">
        <f t="shared" si="31"/>
        <v>0</v>
      </c>
      <c r="W137" s="8">
        <f t="shared" si="32"/>
        <v>0</v>
      </c>
    </row>
    <row r="138" spans="1:23" x14ac:dyDescent="0.3">
      <c r="A138" s="11"/>
      <c r="B138" s="11"/>
      <c r="C138" s="11"/>
      <c r="D138" s="1"/>
      <c r="E138" s="1"/>
      <c r="F138" s="1"/>
      <c r="G138" s="1"/>
      <c r="H138" s="1"/>
      <c r="I138" s="1"/>
      <c r="J138" s="1"/>
      <c r="K138" s="1"/>
      <c r="L138" s="1"/>
      <c r="M138" s="1"/>
      <c r="N138" s="1"/>
      <c r="O138" s="1"/>
      <c r="Q138" s="8">
        <f t="shared" si="22"/>
        <v>0</v>
      </c>
      <c r="S138" s="8">
        <f t="shared" si="28"/>
        <v>0</v>
      </c>
      <c r="T138" s="8">
        <f t="shared" si="29"/>
        <v>0</v>
      </c>
      <c r="U138" s="8">
        <f t="shared" si="30"/>
        <v>0</v>
      </c>
      <c r="V138" s="8">
        <f t="shared" si="31"/>
        <v>0</v>
      </c>
      <c r="W138" s="8">
        <f t="shared" si="32"/>
        <v>0</v>
      </c>
    </row>
    <row r="139" spans="1:23" x14ac:dyDescent="0.3">
      <c r="A139" s="11"/>
      <c r="B139" s="11"/>
      <c r="C139" s="11"/>
      <c r="D139" s="1"/>
      <c r="E139" s="1"/>
      <c r="F139" s="1"/>
      <c r="G139" s="1"/>
      <c r="H139" s="1"/>
      <c r="I139" s="1"/>
      <c r="J139" s="1"/>
      <c r="K139" s="1"/>
      <c r="L139" s="1"/>
      <c r="M139" s="1"/>
      <c r="N139" s="1"/>
      <c r="O139" s="1"/>
      <c r="Q139" s="8">
        <f t="shared" si="22"/>
        <v>0</v>
      </c>
      <c r="S139" s="8">
        <f t="shared" si="28"/>
        <v>0</v>
      </c>
      <c r="T139" s="8">
        <f t="shared" si="29"/>
        <v>0</v>
      </c>
      <c r="U139" s="8">
        <f t="shared" si="30"/>
        <v>0</v>
      </c>
      <c r="V139" s="8">
        <f t="shared" si="31"/>
        <v>0</v>
      </c>
      <c r="W139" s="8">
        <f t="shared" si="32"/>
        <v>0</v>
      </c>
    </row>
    <row r="140" spans="1:23" x14ac:dyDescent="0.3">
      <c r="A140" s="11"/>
      <c r="B140" s="11"/>
      <c r="C140" s="11"/>
      <c r="D140" s="1"/>
      <c r="E140" s="1"/>
      <c r="F140" s="1"/>
      <c r="G140" s="1"/>
      <c r="H140" s="1"/>
      <c r="I140" s="1"/>
      <c r="J140" s="1"/>
      <c r="K140" s="1"/>
      <c r="L140" s="1"/>
      <c r="M140" s="1"/>
      <c r="N140" s="1"/>
      <c r="O140" s="1"/>
      <c r="Q140" s="8">
        <f t="shared" si="22"/>
        <v>0</v>
      </c>
      <c r="S140" s="8">
        <f t="shared" si="28"/>
        <v>0</v>
      </c>
      <c r="T140" s="8">
        <f t="shared" si="29"/>
        <v>0</v>
      </c>
      <c r="U140" s="8">
        <f t="shared" si="30"/>
        <v>0</v>
      </c>
      <c r="V140" s="8">
        <f t="shared" si="31"/>
        <v>0</v>
      </c>
      <c r="W140" s="8">
        <f t="shared" si="32"/>
        <v>0</v>
      </c>
    </row>
    <row r="141" spans="1:23" x14ac:dyDescent="0.3">
      <c r="A141" s="11"/>
      <c r="B141" s="11"/>
      <c r="C141" s="11"/>
      <c r="D141" s="1"/>
      <c r="E141" s="1"/>
      <c r="F141" s="1"/>
      <c r="G141" s="1"/>
      <c r="H141" s="1"/>
      <c r="I141" s="1"/>
      <c r="J141" s="1"/>
      <c r="K141" s="1"/>
      <c r="L141" s="1"/>
      <c r="M141" s="1"/>
      <c r="N141" s="1"/>
      <c r="O141" s="1"/>
      <c r="Q141" s="8">
        <f t="shared" si="22"/>
        <v>0</v>
      </c>
      <c r="S141" s="8">
        <f t="shared" si="28"/>
        <v>0</v>
      </c>
      <c r="T141" s="8">
        <f t="shared" si="29"/>
        <v>0</v>
      </c>
      <c r="U141" s="8">
        <f t="shared" si="30"/>
        <v>0</v>
      </c>
      <c r="V141" s="8">
        <f t="shared" si="31"/>
        <v>0</v>
      </c>
      <c r="W141" s="8">
        <f t="shared" si="32"/>
        <v>0</v>
      </c>
    </row>
    <row r="142" spans="1:23" x14ac:dyDescent="0.3">
      <c r="A142" s="11"/>
      <c r="B142" s="11"/>
      <c r="C142" s="11"/>
      <c r="D142" s="1"/>
      <c r="E142" s="1"/>
      <c r="F142" s="1"/>
      <c r="G142" s="1"/>
      <c r="H142" s="1"/>
      <c r="I142" s="1"/>
      <c r="J142" s="1"/>
      <c r="K142" s="1"/>
      <c r="L142" s="1"/>
      <c r="M142" s="1"/>
      <c r="N142" s="1"/>
      <c r="O142" s="1"/>
      <c r="Q142" s="8">
        <f t="shared" si="22"/>
        <v>0</v>
      </c>
      <c r="S142" s="8">
        <f t="shared" si="28"/>
        <v>0</v>
      </c>
      <c r="T142" s="8">
        <f t="shared" si="29"/>
        <v>0</v>
      </c>
      <c r="U142" s="8">
        <f t="shared" si="30"/>
        <v>0</v>
      </c>
      <c r="V142" s="8">
        <f t="shared" si="31"/>
        <v>0</v>
      </c>
      <c r="W142" s="8">
        <f t="shared" si="32"/>
        <v>0</v>
      </c>
    </row>
    <row r="143" spans="1:23" x14ac:dyDescent="0.3">
      <c r="A143" s="11"/>
      <c r="B143" s="11"/>
      <c r="C143" s="11"/>
      <c r="D143" s="1"/>
      <c r="E143" s="1"/>
      <c r="F143" s="1"/>
      <c r="G143" s="1"/>
      <c r="H143" s="1"/>
      <c r="I143" s="1"/>
      <c r="J143" s="1"/>
      <c r="K143" s="1"/>
      <c r="L143" s="1"/>
      <c r="M143" s="1"/>
      <c r="N143" s="1"/>
      <c r="O143" s="1"/>
      <c r="Q143" s="8">
        <f t="shared" si="22"/>
        <v>0</v>
      </c>
      <c r="S143" s="8">
        <f t="shared" si="28"/>
        <v>0</v>
      </c>
      <c r="T143" s="8">
        <f t="shared" si="29"/>
        <v>0</v>
      </c>
      <c r="U143" s="8">
        <f t="shared" si="30"/>
        <v>0</v>
      </c>
      <c r="V143" s="8">
        <f t="shared" si="31"/>
        <v>0</v>
      </c>
      <c r="W143" s="8">
        <f t="shared" si="32"/>
        <v>0</v>
      </c>
    </row>
    <row r="144" spans="1:23" x14ac:dyDescent="0.3">
      <c r="A144" s="11"/>
      <c r="B144" s="11"/>
      <c r="C144" s="11"/>
      <c r="D144" s="1"/>
      <c r="E144" s="1"/>
      <c r="F144" s="1"/>
      <c r="G144" s="1"/>
      <c r="H144" s="1"/>
      <c r="I144" s="1"/>
      <c r="J144" s="1"/>
      <c r="K144" s="1"/>
      <c r="L144" s="1"/>
      <c r="M144" s="1"/>
      <c r="N144" s="1"/>
      <c r="O144" s="1"/>
      <c r="Q144" s="8">
        <f t="shared" si="22"/>
        <v>0</v>
      </c>
      <c r="S144" s="8">
        <f t="shared" si="28"/>
        <v>0</v>
      </c>
      <c r="T144" s="8">
        <f t="shared" si="29"/>
        <v>0</v>
      </c>
      <c r="U144" s="8">
        <f t="shared" si="30"/>
        <v>0</v>
      </c>
      <c r="V144" s="8">
        <f t="shared" si="31"/>
        <v>0</v>
      </c>
      <c r="W144" s="8">
        <f t="shared" si="32"/>
        <v>0</v>
      </c>
    </row>
    <row r="145" spans="1:23" x14ac:dyDescent="0.3">
      <c r="A145" s="11"/>
      <c r="B145" s="11"/>
      <c r="C145" s="11"/>
      <c r="D145" s="1"/>
      <c r="E145" s="1"/>
      <c r="F145" s="1"/>
      <c r="G145" s="1"/>
      <c r="H145" s="1"/>
      <c r="I145" s="1"/>
      <c r="J145" s="1"/>
      <c r="K145" s="1"/>
      <c r="L145" s="1"/>
      <c r="M145" s="1"/>
      <c r="N145" s="1"/>
      <c r="O145" s="1"/>
      <c r="Q145" s="8">
        <f t="shared" si="22"/>
        <v>0</v>
      </c>
      <c r="S145" s="8">
        <f t="shared" si="28"/>
        <v>0</v>
      </c>
      <c r="T145" s="8">
        <f t="shared" si="29"/>
        <v>0</v>
      </c>
      <c r="U145" s="8">
        <f t="shared" si="30"/>
        <v>0</v>
      </c>
      <c r="V145" s="8">
        <f t="shared" si="31"/>
        <v>0</v>
      </c>
      <c r="W145" s="8">
        <f t="shared" si="32"/>
        <v>0</v>
      </c>
    </row>
    <row r="146" spans="1:23" x14ac:dyDescent="0.3">
      <c r="A146" s="11"/>
      <c r="B146" s="11"/>
      <c r="C146" s="11"/>
      <c r="D146" s="1"/>
      <c r="E146" s="1"/>
      <c r="F146" s="1"/>
      <c r="G146" s="1"/>
      <c r="H146" s="1"/>
      <c r="I146" s="1"/>
      <c r="J146" s="1"/>
      <c r="K146" s="1"/>
      <c r="L146" s="1"/>
      <c r="M146" s="1"/>
      <c r="N146" s="1"/>
      <c r="O146" s="1"/>
      <c r="Q146" s="8">
        <f t="shared" si="22"/>
        <v>0</v>
      </c>
      <c r="S146" s="8">
        <f t="shared" si="28"/>
        <v>0</v>
      </c>
      <c r="T146" s="8">
        <f t="shared" si="29"/>
        <v>0</v>
      </c>
      <c r="U146" s="8">
        <f t="shared" si="30"/>
        <v>0</v>
      </c>
      <c r="V146" s="8">
        <f t="shared" si="31"/>
        <v>0</v>
      </c>
      <c r="W146" s="8">
        <f t="shared" si="32"/>
        <v>0</v>
      </c>
    </row>
    <row r="147" spans="1:23" x14ac:dyDescent="0.3">
      <c r="A147" s="11"/>
      <c r="B147" s="11"/>
      <c r="C147" s="11"/>
      <c r="D147" s="1"/>
      <c r="E147" s="1"/>
      <c r="F147" s="1"/>
      <c r="G147" s="1"/>
      <c r="H147" s="1"/>
      <c r="I147" s="1"/>
      <c r="J147" s="1"/>
      <c r="K147" s="1"/>
      <c r="L147" s="1"/>
      <c r="M147" s="1"/>
      <c r="N147" s="1"/>
      <c r="O147" s="1"/>
      <c r="Q147" s="8">
        <f t="shared" si="22"/>
        <v>0</v>
      </c>
      <c r="S147" s="8">
        <f t="shared" si="28"/>
        <v>0</v>
      </c>
      <c r="T147" s="8">
        <f t="shared" si="29"/>
        <v>0</v>
      </c>
      <c r="U147" s="8">
        <f t="shared" si="30"/>
        <v>0</v>
      </c>
      <c r="V147" s="8">
        <f t="shared" si="31"/>
        <v>0</v>
      </c>
      <c r="W147" s="8">
        <f t="shared" si="32"/>
        <v>0</v>
      </c>
    </row>
    <row r="148" spans="1:23" x14ac:dyDescent="0.3">
      <c r="A148" s="11"/>
      <c r="B148" s="11"/>
      <c r="C148" s="11"/>
      <c r="D148" s="1"/>
      <c r="E148" s="1"/>
      <c r="F148" s="1"/>
      <c r="G148" s="1"/>
      <c r="H148" s="1"/>
      <c r="I148" s="1"/>
      <c r="J148" s="1"/>
      <c r="K148" s="1"/>
      <c r="L148" s="1"/>
      <c r="M148" s="1"/>
      <c r="N148" s="1"/>
      <c r="O148" s="1"/>
      <c r="Q148" s="8">
        <f t="shared" si="22"/>
        <v>0</v>
      </c>
      <c r="S148" s="8">
        <f t="shared" si="28"/>
        <v>0</v>
      </c>
      <c r="T148" s="8">
        <f t="shared" si="29"/>
        <v>0</v>
      </c>
      <c r="U148" s="8">
        <f t="shared" si="30"/>
        <v>0</v>
      </c>
      <c r="V148" s="8">
        <f t="shared" si="31"/>
        <v>0</v>
      </c>
      <c r="W148" s="8">
        <f t="shared" si="32"/>
        <v>0</v>
      </c>
    </row>
    <row r="149" spans="1:23" x14ac:dyDescent="0.3">
      <c r="A149" s="11"/>
      <c r="B149" s="11"/>
      <c r="C149" s="11"/>
      <c r="D149" s="1"/>
      <c r="E149" s="1"/>
      <c r="F149" s="1"/>
      <c r="G149" s="1"/>
      <c r="H149" s="1"/>
      <c r="I149" s="1"/>
      <c r="J149" s="1"/>
      <c r="K149" s="1"/>
      <c r="L149" s="1"/>
      <c r="M149" s="1"/>
      <c r="N149" s="1"/>
      <c r="O149" s="1"/>
      <c r="Q149" s="8">
        <f t="shared" si="22"/>
        <v>0</v>
      </c>
      <c r="S149" s="8">
        <f t="shared" si="28"/>
        <v>0</v>
      </c>
      <c r="T149" s="8">
        <f t="shared" si="29"/>
        <v>0</v>
      </c>
      <c r="U149" s="8">
        <f t="shared" si="30"/>
        <v>0</v>
      </c>
      <c r="V149" s="8">
        <f t="shared" si="31"/>
        <v>0</v>
      </c>
      <c r="W149" s="8">
        <f t="shared" si="32"/>
        <v>0</v>
      </c>
    </row>
    <row r="150" spans="1:23" x14ac:dyDescent="0.3">
      <c r="A150" s="11"/>
      <c r="B150" s="11"/>
      <c r="C150" s="11"/>
      <c r="D150" s="1"/>
      <c r="E150" s="1"/>
      <c r="F150" s="1"/>
      <c r="G150" s="1"/>
      <c r="H150" s="1"/>
      <c r="I150" s="1"/>
      <c r="J150" s="1"/>
      <c r="K150" s="1"/>
      <c r="L150" s="1"/>
      <c r="M150" s="1"/>
      <c r="N150" s="1"/>
      <c r="O150" s="1"/>
      <c r="Q150" s="8">
        <f t="shared" si="22"/>
        <v>0</v>
      </c>
      <c r="S150" s="8">
        <f t="shared" si="28"/>
        <v>0</v>
      </c>
      <c r="T150" s="8">
        <f t="shared" si="29"/>
        <v>0</v>
      </c>
      <c r="U150" s="8">
        <f t="shared" si="30"/>
        <v>0</v>
      </c>
      <c r="V150" s="8">
        <f t="shared" si="31"/>
        <v>0</v>
      </c>
      <c r="W150" s="8">
        <f t="shared" si="32"/>
        <v>0</v>
      </c>
    </row>
    <row r="151" spans="1:23" x14ac:dyDescent="0.3">
      <c r="A151" s="11"/>
      <c r="B151" s="11"/>
      <c r="C151" s="11"/>
      <c r="D151" s="1"/>
      <c r="E151" s="1"/>
      <c r="F151" s="1"/>
      <c r="G151" s="1"/>
      <c r="H151" s="1"/>
      <c r="I151" s="1"/>
      <c r="J151" s="1"/>
      <c r="K151" s="1"/>
      <c r="L151" s="1"/>
      <c r="M151" s="1"/>
      <c r="N151" s="1"/>
      <c r="O151" s="1"/>
      <c r="Q151" s="8">
        <f t="shared" si="22"/>
        <v>0</v>
      </c>
      <c r="S151" s="8">
        <f t="shared" si="28"/>
        <v>0</v>
      </c>
      <c r="T151" s="8">
        <f t="shared" si="29"/>
        <v>0</v>
      </c>
      <c r="U151" s="8">
        <f t="shared" si="30"/>
        <v>0</v>
      </c>
      <c r="V151" s="8">
        <f t="shared" si="31"/>
        <v>0</v>
      </c>
      <c r="W151" s="8">
        <f t="shared" si="32"/>
        <v>0</v>
      </c>
    </row>
    <row r="152" spans="1:23" x14ac:dyDescent="0.3">
      <c r="A152" s="11"/>
      <c r="B152" s="11"/>
      <c r="C152" s="11"/>
      <c r="D152" s="1"/>
      <c r="E152" s="1"/>
      <c r="F152" s="1"/>
      <c r="G152" s="1"/>
      <c r="H152" s="1"/>
      <c r="I152" s="1"/>
      <c r="J152" s="1"/>
      <c r="K152" s="1"/>
      <c r="L152" s="1"/>
      <c r="M152" s="1"/>
      <c r="N152" s="1"/>
      <c r="O152" s="1"/>
      <c r="Q152" s="8">
        <f t="shared" si="22"/>
        <v>0</v>
      </c>
      <c r="S152" s="8">
        <f t="shared" si="28"/>
        <v>0</v>
      </c>
      <c r="T152" s="8">
        <f t="shared" si="29"/>
        <v>0</v>
      </c>
      <c r="U152" s="8">
        <f t="shared" si="30"/>
        <v>0</v>
      </c>
      <c r="V152" s="8">
        <f t="shared" si="31"/>
        <v>0</v>
      </c>
      <c r="W152" s="8">
        <f t="shared" si="32"/>
        <v>0</v>
      </c>
    </row>
    <row r="153" spans="1:23" x14ac:dyDescent="0.3">
      <c r="A153" s="11"/>
      <c r="B153" s="11"/>
      <c r="C153" s="11"/>
      <c r="D153" s="1"/>
      <c r="E153" s="1"/>
      <c r="F153" s="1"/>
      <c r="G153" s="1"/>
      <c r="H153" s="1"/>
      <c r="I153" s="1"/>
      <c r="J153" s="1"/>
      <c r="K153" s="1"/>
      <c r="L153" s="1"/>
      <c r="M153" s="1"/>
      <c r="N153" s="1"/>
      <c r="O153" s="1"/>
      <c r="Q153" s="8">
        <f t="shared" si="22"/>
        <v>0</v>
      </c>
      <c r="S153" s="8">
        <f t="shared" si="28"/>
        <v>0</v>
      </c>
      <c r="T153" s="8">
        <f t="shared" si="29"/>
        <v>0</v>
      </c>
      <c r="U153" s="8">
        <f t="shared" si="30"/>
        <v>0</v>
      </c>
      <c r="V153" s="8">
        <f t="shared" si="31"/>
        <v>0</v>
      </c>
      <c r="W153" s="8">
        <f t="shared" si="32"/>
        <v>0</v>
      </c>
    </row>
    <row r="154" spans="1:23" x14ac:dyDescent="0.3">
      <c r="A154" s="11"/>
      <c r="B154" s="11"/>
      <c r="C154" s="11"/>
      <c r="D154" s="1"/>
      <c r="E154" s="1"/>
      <c r="F154" s="1"/>
      <c r="G154" s="1"/>
      <c r="H154" s="1"/>
      <c r="I154" s="1"/>
      <c r="J154" s="1"/>
      <c r="K154" s="1"/>
      <c r="L154" s="1"/>
      <c r="M154" s="1"/>
      <c r="N154" s="1"/>
      <c r="O154" s="1"/>
      <c r="Q154" s="8">
        <f t="shared" si="22"/>
        <v>0</v>
      </c>
      <c r="S154" s="8">
        <f t="shared" si="28"/>
        <v>0</v>
      </c>
      <c r="T154" s="8">
        <f t="shared" si="29"/>
        <v>0</v>
      </c>
      <c r="U154" s="8">
        <f t="shared" si="30"/>
        <v>0</v>
      </c>
      <c r="V154" s="8">
        <f t="shared" si="31"/>
        <v>0</v>
      </c>
      <c r="W154" s="8">
        <f t="shared" si="32"/>
        <v>0</v>
      </c>
    </row>
    <row r="155" spans="1:23" x14ac:dyDescent="0.3">
      <c r="A155" s="11"/>
      <c r="B155" s="11"/>
      <c r="C155" s="11"/>
      <c r="D155" s="1"/>
      <c r="E155" s="1"/>
      <c r="F155" s="1"/>
      <c r="G155" s="1"/>
      <c r="H155" s="1"/>
      <c r="I155" s="1"/>
      <c r="J155" s="1"/>
      <c r="K155" s="1"/>
      <c r="L155" s="1"/>
      <c r="M155" s="1"/>
      <c r="N155" s="1"/>
      <c r="O155" s="1"/>
      <c r="Q155" s="8">
        <f t="shared" si="22"/>
        <v>0</v>
      </c>
      <c r="S155" s="8">
        <f t="shared" si="28"/>
        <v>0</v>
      </c>
      <c r="T155" s="8">
        <f t="shared" si="29"/>
        <v>0</v>
      </c>
      <c r="U155" s="8">
        <f t="shared" si="30"/>
        <v>0</v>
      </c>
      <c r="V155" s="8">
        <f t="shared" si="31"/>
        <v>0</v>
      </c>
      <c r="W155" s="8">
        <f t="shared" si="32"/>
        <v>0</v>
      </c>
    </row>
    <row r="156" spans="1:23" x14ac:dyDescent="0.3">
      <c r="A156" s="11"/>
      <c r="B156" s="11"/>
      <c r="C156" s="11"/>
      <c r="D156" s="1"/>
      <c r="E156" s="1"/>
      <c r="F156" s="1"/>
      <c r="G156" s="1"/>
      <c r="H156" s="1"/>
      <c r="I156" s="1"/>
      <c r="J156" s="1"/>
      <c r="K156" s="1"/>
      <c r="L156" s="1"/>
      <c r="M156" s="1"/>
      <c r="N156" s="1"/>
      <c r="O156" s="1"/>
      <c r="Q156" s="8">
        <f t="shared" si="22"/>
        <v>0</v>
      </c>
      <c r="S156" s="8">
        <f t="shared" si="28"/>
        <v>0</v>
      </c>
      <c r="T156" s="8">
        <f t="shared" si="29"/>
        <v>0</v>
      </c>
      <c r="U156" s="8">
        <f t="shared" si="30"/>
        <v>0</v>
      </c>
      <c r="V156" s="8">
        <f t="shared" si="31"/>
        <v>0</v>
      </c>
      <c r="W156" s="8">
        <f t="shared" si="32"/>
        <v>0</v>
      </c>
    </row>
    <row r="157" spans="1:23" x14ac:dyDescent="0.3">
      <c r="A157" s="11"/>
      <c r="B157" s="11"/>
      <c r="C157" s="11"/>
      <c r="D157" s="1"/>
      <c r="E157" s="1"/>
      <c r="F157" s="1"/>
      <c r="G157" s="1"/>
      <c r="H157" s="1"/>
      <c r="I157" s="1"/>
      <c r="J157" s="1"/>
      <c r="K157" s="1"/>
      <c r="L157" s="1"/>
      <c r="M157" s="1"/>
      <c r="N157" s="1"/>
      <c r="O157" s="1"/>
      <c r="Q157" s="8">
        <f t="shared" si="22"/>
        <v>0</v>
      </c>
      <c r="S157" s="8">
        <f t="shared" si="28"/>
        <v>0</v>
      </c>
      <c r="T157" s="8">
        <f t="shared" si="29"/>
        <v>0</v>
      </c>
      <c r="U157" s="8">
        <f t="shared" si="30"/>
        <v>0</v>
      </c>
      <c r="V157" s="8">
        <f t="shared" si="31"/>
        <v>0</v>
      </c>
      <c r="W157" s="8">
        <f t="shared" si="32"/>
        <v>0</v>
      </c>
    </row>
    <row r="158" spans="1:23" x14ac:dyDescent="0.3">
      <c r="A158" s="11"/>
      <c r="B158" s="11"/>
      <c r="C158" s="11"/>
      <c r="D158" s="1"/>
      <c r="E158" s="1"/>
      <c r="F158" s="1"/>
      <c r="G158" s="1"/>
      <c r="H158" s="1"/>
      <c r="I158" s="1"/>
      <c r="J158" s="1"/>
      <c r="K158" s="1"/>
      <c r="L158" s="1"/>
      <c r="M158" s="1"/>
      <c r="N158" s="1"/>
      <c r="O158" s="1"/>
      <c r="Q158" s="8">
        <f t="shared" si="22"/>
        <v>0</v>
      </c>
      <c r="S158" s="8">
        <f t="shared" si="28"/>
        <v>0</v>
      </c>
      <c r="T158" s="8">
        <f t="shared" si="29"/>
        <v>0</v>
      </c>
      <c r="U158" s="8">
        <f t="shared" si="30"/>
        <v>0</v>
      </c>
      <c r="V158" s="8">
        <f t="shared" si="31"/>
        <v>0</v>
      </c>
      <c r="W158" s="8">
        <f t="shared" si="32"/>
        <v>0</v>
      </c>
    </row>
    <row r="159" spans="1:23" x14ac:dyDescent="0.3">
      <c r="A159" s="11"/>
      <c r="B159" s="11"/>
      <c r="C159" s="11"/>
      <c r="D159" s="1"/>
      <c r="E159" s="1"/>
      <c r="F159" s="1"/>
      <c r="G159" s="1"/>
      <c r="H159" s="1"/>
      <c r="I159" s="1"/>
      <c r="J159" s="1"/>
      <c r="K159" s="1"/>
      <c r="L159" s="1"/>
      <c r="M159" s="1"/>
      <c r="N159" s="1"/>
      <c r="O159" s="1"/>
      <c r="Q159" s="8">
        <f t="shared" si="22"/>
        <v>0</v>
      </c>
      <c r="S159" s="8">
        <f t="shared" si="28"/>
        <v>0</v>
      </c>
      <c r="T159" s="8">
        <f t="shared" si="29"/>
        <v>0</v>
      </c>
      <c r="U159" s="8">
        <f t="shared" si="30"/>
        <v>0</v>
      </c>
      <c r="V159" s="8">
        <f t="shared" si="31"/>
        <v>0</v>
      </c>
      <c r="W159" s="8">
        <f t="shared" si="32"/>
        <v>0</v>
      </c>
    </row>
    <row r="160" spans="1:23" x14ac:dyDescent="0.3">
      <c r="A160" s="11"/>
      <c r="B160" s="11"/>
      <c r="C160" s="11"/>
      <c r="D160" s="1"/>
      <c r="E160" s="1"/>
      <c r="F160" s="1"/>
      <c r="G160" s="1"/>
      <c r="H160" s="1"/>
      <c r="I160" s="1"/>
      <c r="J160" s="1"/>
      <c r="K160" s="1"/>
      <c r="L160" s="1"/>
      <c r="M160" s="1"/>
      <c r="N160" s="1"/>
      <c r="O160" s="1"/>
      <c r="Q160" s="8">
        <f t="shared" si="22"/>
        <v>0</v>
      </c>
      <c r="S160" s="8">
        <f t="shared" si="28"/>
        <v>0</v>
      </c>
      <c r="T160" s="8">
        <f t="shared" si="29"/>
        <v>0</v>
      </c>
      <c r="U160" s="8">
        <f t="shared" si="30"/>
        <v>0</v>
      </c>
      <c r="V160" s="8">
        <f t="shared" si="31"/>
        <v>0</v>
      </c>
      <c r="W160" s="8">
        <f t="shared" si="32"/>
        <v>0</v>
      </c>
    </row>
    <row r="161" spans="1:23" x14ac:dyDescent="0.3">
      <c r="A161" s="11"/>
      <c r="B161" s="11"/>
      <c r="C161" s="11"/>
      <c r="D161" s="1"/>
      <c r="E161" s="1"/>
      <c r="F161" s="1"/>
      <c r="G161" s="1"/>
      <c r="H161" s="1"/>
      <c r="I161" s="1"/>
      <c r="J161" s="1"/>
      <c r="K161" s="1"/>
      <c r="L161" s="1"/>
      <c r="M161" s="1"/>
      <c r="N161" s="1"/>
      <c r="O161" s="1"/>
      <c r="Q161" s="8">
        <f t="shared" si="22"/>
        <v>0</v>
      </c>
      <c r="S161" s="8">
        <f t="shared" si="28"/>
        <v>0</v>
      </c>
      <c r="T161" s="8">
        <f t="shared" si="29"/>
        <v>0</v>
      </c>
      <c r="U161" s="8">
        <f t="shared" si="30"/>
        <v>0</v>
      </c>
      <c r="V161" s="8">
        <f t="shared" si="31"/>
        <v>0</v>
      </c>
      <c r="W161" s="8">
        <f t="shared" si="32"/>
        <v>0</v>
      </c>
    </row>
    <row r="162" spans="1:23" x14ac:dyDescent="0.3">
      <c r="A162" s="11"/>
      <c r="B162" s="11"/>
      <c r="C162" s="11"/>
      <c r="D162" s="1"/>
      <c r="E162" s="1"/>
      <c r="F162" s="1"/>
      <c r="G162" s="1"/>
      <c r="H162" s="1"/>
      <c r="I162" s="1"/>
      <c r="J162" s="1"/>
      <c r="K162" s="1"/>
      <c r="L162" s="1"/>
      <c r="M162" s="1"/>
      <c r="N162" s="1"/>
      <c r="O162" s="1"/>
      <c r="Q162" s="8">
        <f t="shared" si="22"/>
        <v>0</v>
      </c>
      <c r="S162" s="8">
        <f t="shared" si="28"/>
        <v>0</v>
      </c>
      <c r="T162" s="8">
        <f t="shared" si="29"/>
        <v>0</v>
      </c>
      <c r="U162" s="8">
        <f t="shared" si="30"/>
        <v>0</v>
      </c>
      <c r="V162" s="8">
        <f t="shared" si="31"/>
        <v>0</v>
      </c>
      <c r="W162" s="8">
        <f t="shared" si="32"/>
        <v>0</v>
      </c>
    </row>
    <row r="163" spans="1:23" x14ac:dyDescent="0.3">
      <c r="A163" s="11"/>
      <c r="B163" s="11"/>
      <c r="C163" s="11"/>
      <c r="D163" s="1"/>
      <c r="E163" s="1"/>
      <c r="F163" s="1"/>
      <c r="G163" s="1"/>
      <c r="H163" s="1"/>
      <c r="I163" s="1"/>
      <c r="J163" s="1"/>
      <c r="K163" s="1"/>
      <c r="L163" s="1"/>
      <c r="M163" s="1"/>
      <c r="N163" s="1"/>
      <c r="O163" s="1"/>
      <c r="Q163" s="8">
        <f t="shared" si="22"/>
        <v>0</v>
      </c>
      <c r="S163" s="8">
        <f t="shared" si="28"/>
        <v>0</v>
      </c>
      <c r="T163" s="8">
        <f t="shared" si="29"/>
        <v>0</v>
      </c>
      <c r="U163" s="8">
        <f t="shared" si="30"/>
        <v>0</v>
      </c>
      <c r="V163" s="8">
        <f t="shared" si="31"/>
        <v>0</v>
      </c>
      <c r="W163" s="8">
        <f t="shared" si="32"/>
        <v>0</v>
      </c>
    </row>
    <row r="164" spans="1:23" x14ac:dyDescent="0.3">
      <c r="A164" s="11"/>
      <c r="B164" s="11"/>
      <c r="C164" s="11"/>
      <c r="D164" s="1"/>
      <c r="E164" s="1"/>
      <c r="F164" s="1"/>
      <c r="G164" s="1"/>
      <c r="H164" s="1"/>
      <c r="I164" s="1"/>
      <c r="J164" s="1"/>
      <c r="K164" s="1"/>
      <c r="L164" s="1"/>
      <c r="M164" s="1"/>
      <c r="N164" s="1"/>
      <c r="O164" s="1"/>
      <c r="Q164" s="8">
        <f t="shared" si="22"/>
        <v>0</v>
      </c>
      <c r="S164" s="8">
        <f t="shared" si="28"/>
        <v>0</v>
      </c>
      <c r="T164" s="8">
        <f t="shared" si="29"/>
        <v>0</v>
      </c>
      <c r="U164" s="8">
        <f t="shared" si="30"/>
        <v>0</v>
      </c>
      <c r="V164" s="8">
        <f t="shared" si="31"/>
        <v>0</v>
      </c>
      <c r="W164" s="8">
        <f t="shared" si="32"/>
        <v>0</v>
      </c>
    </row>
    <row r="165" spans="1:23" x14ac:dyDescent="0.3">
      <c r="A165" s="11"/>
      <c r="B165" s="11"/>
      <c r="C165" s="11"/>
      <c r="D165" s="1"/>
      <c r="E165" s="1"/>
      <c r="F165" s="1"/>
      <c r="G165" s="1"/>
      <c r="H165" s="1"/>
      <c r="I165" s="1"/>
      <c r="J165" s="1"/>
      <c r="K165" s="1"/>
      <c r="L165" s="1"/>
      <c r="M165" s="1"/>
      <c r="N165" s="1"/>
      <c r="O165" s="1"/>
      <c r="Q165" s="8">
        <f t="shared" si="22"/>
        <v>0</v>
      </c>
      <c r="S165" s="8">
        <f t="shared" si="28"/>
        <v>0</v>
      </c>
      <c r="T165" s="8">
        <f t="shared" si="29"/>
        <v>0</v>
      </c>
      <c r="U165" s="8">
        <f t="shared" si="30"/>
        <v>0</v>
      </c>
      <c r="V165" s="8">
        <f t="shared" si="31"/>
        <v>0</v>
      </c>
      <c r="W165" s="8">
        <f t="shared" si="32"/>
        <v>0</v>
      </c>
    </row>
    <row r="166" spans="1:23" x14ac:dyDescent="0.3">
      <c r="A166" s="11"/>
      <c r="B166" s="11"/>
      <c r="C166" s="11"/>
      <c r="D166" s="1"/>
      <c r="E166" s="1"/>
      <c r="F166" s="1"/>
      <c r="G166" s="1"/>
      <c r="H166" s="1"/>
      <c r="I166" s="1"/>
      <c r="J166" s="1"/>
      <c r="K166" s="1"/>
      <c r="L166" s="1"/>
      <c r="M166" s="1"/>
      <c r="N166" s="1"/>
      <c r="O166" s="1"/>
      <c r="Q166" s="8">
        <f t="shared" si="22"/>
        <v>0</v>
      </c>
      <c r="S166" s="8">
        <f t="shared" si="28"/>
        <v>0</v>
      </c>
      <c r="T166" s="8">
        <f t="shared" si="29"/>
        <v>0</v>
      </c>
      <c r="U166" s="8">
        <f t="shared" si="30"/>
        <v>0</v>
      </c>
      <c r="V166" s="8">
        <f t="shared" si="31"/>
        <v>0</v>
      </c>
      <c r="W166" s="8">
        <f t="shared" si="32"/>
        <v>0</v>
      </c>
    </row>
    <row r="167" spans="1:23" x14ac:dyDescent="0.3">
      <c r="A167" s="11"/>
      <c r="B167" s="11"/>
      <c r="C167" s="11"/>
      <c r="D167" s="1"/>
      <c r="E167" s="1"/>
      <c r="F167" s="1"/>
      <c r="G167" s="1"/>
      <c r="H167" s="1"/>
      <c r="I167" s="1"/>
      <c r="J167" s="1"/>
      <c r="K167" s="1"/>
      <c r="L167" s="1"/>
      <c r="M167" s="1"/>
      <c r="N167" s="1"/>
      <c r="O167" s="1"/>
      <c r="Q167" s="8">
        <f t="shared" si="22"/>
        <v>0</v>
      </c>
      <c r="S167" s="8">
        <f t="shared" si="28"/>
        <v>0</v>
      </c>
      <c r="T167" s="8">
        <f t="shared" si="29"/>
        <v>0</v>
      </c>
      <c r="U167" s="8">
        <f t="shared" si="30"/>
        <v>0</v>
      </c>
      <c r="V167" s="8">
        <f t="shared" si="31"/>
        <v>0</v>
      </c>
      <c r="W167" s="8">
        <f t="shared" si="32"/>
        <v>0</v>
      </c>
    </row>
    <row r="168" spans="1:23" x14ac:dyDescent="0.3">
      <c r="A168" s="11"/>
      <c r="B168" s="11"/>
      <c r="C168" s="11"/>
      <c r="D168" s="1"/>
      <c r="E168" s="1"/>
      <c r="F168" s="1"/>
      <c r="G168" s="1"/>
      <c r="H168" s="1"/>
      <c r="I168" s="1"/>
      <c r="J168" s="1"/>
      <c r="K168" s="1"/>
      <c r="L168" s="1"/>
      <c r="M168" s="1"/>
      <c r="N168" s="1"/>
      <c r="O168" s="1"/>
      <c r="Q168" s="8">
        <f t="shared" si="22"/>
        <v>0</v>
      </c>
      <c r="S168" s="8">
        <f t="shared" si="28"/>
        <v>0</v>
      </c>
      <c r="T168" s="8">
        <f t="shared" si="29"/>
        <v>0</v>
      </c>
      <c r="U168" s="8">
        <f t="shared" si="30"/>
        <v>0</v>
      </c>
      <c r="V168" s="8">
        <f t="shared" si="31"/>
        <v>0</v>
      </c>
      <c r="W168" s="8">
        <f t="shared" si="32"/>
        <v>0</v>
      </c>
    </row>
    <row r="169" spans="1:23" x14ac:dyDescent="0.3">
      <c r="A169" s="11"/>
      <c r="B169" s="11"/>
      <c r="C169" s="11"/>
      <c r="D169" s="1"/>
      <c r="E169" s="1"/>
      <c r="F169" s="1"/>
      <c r="G169" s="1"/>
      <c r="H169" s="1"/>
      <c r="I169" s="1"/>
      <c r="J169" s="1"/>
      <c r="K169" s="1"/>
      <c r="L169" s="1"/>
      <c r="M169" s="1"/>
      <c r="N169" s="1"/>
      <c r="O169" s="1"/>
      <c r="Q169" s="8">
        <f t="shared" ref="Q169:Q232" si="33">IFERROR(SUM(D169:O169),"")</f>
        <v>0</v>
      </c>
      <c r="S169" s="8">
        <f t="shared" si="28"/>
        <v>0</v>
      </c>
      <c r="T169" s="8">
        <f t="shared" si="29"/>
        <v>0</v>
      </c>
      <c r="U169" s="8">
        <f t="shared" si="30"/>
        <v>0</v>
      </c>
      <c r="V169" s="8">
        <f t="shared" si="31"/>
        <v>0</v>
      </c>
      <c r="W169" s="8">
        <f t="shared" si="32"/>
        <v>0</v>
      </c>
    </row>
    <row r="170" spans="1:23" x14ac:dyDescent="0.3">
      <c r="A170" s="11"/>
      <c r="B170" s="11"/>
      <c r="C170" s="11"/>
      <c r="D170" s="1"/>
      <c r="E170" s="1"/>
      <c r="F170" s="1"/>
      <c r="G170" s="1"/>
      <c r="H170" s="1"/>
      <c r="I170" s="1"/>
      <c r="J170" s="1"/>
      <c r="K170" s="1"/>
      <c r="L170" s="1"/>
      <c r="M170" s="1"/>
      <c r="N170" s="1"/>
      <c r="O170" s="1"/>
      <c r="Q170" s="8">
        <f t="shared" si="33"/>
        <v>0</v>
      </c>
      <c r="S170" s="8">
        <f t="shared" ref="S170:S233" si="34">+SUM(O170)*12</f>
        <v>0</v>
      </c>
      <c r="T170" s="8">
        <f t="shared" ref="T170:T233" si="35">+SUM(M170:O170)*4</f>
        <v>0</v>
      </c>
      <c r="U170" s="8">
        <f t="shared" ref="U170:U233" si="36">+SUM(J170:O170)*2</f>
        <v>0</v>
      </c>
      <c r="V170" s="8">
        <f t="shared" ref="V170:V233" si="37">+SUM(G170:O170)/9*12</f>
        <v>0</v>
      </c>
      <c r="W170" s="8">
        <f t="shared" ref="W170:W233" si="38">+SUM(D170:O170)</f>
        <v>0</v>
      </c>
    </row>
    <row r="171" spans="1:23" x14ac:dyDescent="0.3">
      <c r="A171" s="11"/>
      <c r="B171" s="11"/>
      <c r="C171" s="11"/>
      <c r="D171" s="1"/>
      <c r="E171" s="1"/>
      <c r="F171" s="1"/>
      <c r="G171" s="1"/>
      <c r="H171" s="1"/>
      <c r="I171" s="1"/>
      <c r="J171" s="1"/>
      <c r="K171" s="1"/>
      <c r="L171" s="1"/>
      <c r="M171" s="1"/>
      <c r="N171" s="1"/>
      <c r="O171" s="1"/>
      <c r="Q171" s="8">
        <f t="shared" si="33"/>
        <v>0</v>
      </c>
      <c r="S171" s="8">
        <f t="shared" si="34"/>
        <v>0</v>
      </c>
      <c r="T171" s="8">
        <f t="shared" si="35"/>
        <v>0</v>
      </c>
      <c r="U171" s="8">
        <f t="shared" si="36"/>
        <v>0</v>
      </c>
      <c r="V171" s="8">
        <f t="shared" si="37"/>
        <v>0</v>
      </c>
      <c r="W171" s="8">
        <f t="shared" si="38"/>
        <v>0</v>
      </c>
    </row>
    <row r="172" spans="1:23" x14ac:dyDescent="0.3">
      <c r="A172" s="11"/>
      <c r="B172" s="11"/>
      <c r="C172" s="11"/>
      <c r="D172" s="1"/>
      <c r="E172" s="1"/>
      <c r="F172" s="1"/>
      <c r="G172" s="1"/>
      <c r="H172" s="1"/>
      <c r="I172" s="1"/>
      <c r="J172" s="1"/>
      <c r="K172" s="1"/>
      <c r="L172" s="1"/>
      <c r="M172" s="1"/>
      <c r="N172" s="1"/>
      <c r="O172" s="1"/>
      <c r="Q172" s="8">
        <f t="shared" si="33"/>
        <v>0</v>
      </c>
      <c r="S172" s="8">
        <f t="shared" si="34"/>
        <v>0</v>
      </c>
      <c r="T172" s="8">
        <f t="shared" si="35"/>
        <v>0</v>
      </c>
      <c r="U172" s="8">
        <f t="shared" si="36"/>
        <v>0</v>
      </c>
      <c r="V172" s="8">
        <f t="shared" si="37"/>
        <v>0</v>
      </c>
      <c r="W172" s="8">
        <f t="shared" si="38"/>
        <v>0</v>
      </c>
    </row>
    <row r="173" spans="1:23" x14ac:dyDescent="0.3">
      <c r="A173" s="11"/>
      <c r="B173" s="11"/>
      <c r="C173" s="11"/>
      <c r="D173" s="1"/>
      <c r="E173" s="1"/>
      <c r="F173" s="1"/>
      <c r="G173" s="1"/>
      <c r="H173" s="1"/>
      <c r="I173" s="1"/>
      <c r="J173" s="1"/>
      <c r="K173" s="1"/>
      <c r="L173" s="1"/>
      <c r="M173" s="1"/>
      <c r="N173" s="1"/>
      <c r="O173" s="1"/>
      <c r="Q173" s="8">
        <f t="shared" si="33"/>
        <v>0</v>
      </c>
      <c r="S173" s="8">
        <f t="shared" si="34"/>
        <v>0</v>
      </c>
      <c r="T173" s="8">
        <f t="shared" si="35"/>
        <v>0</v>
      </c>
      <c r="U173" s="8">
        <f t="shared" si="36"/>
        <v>0</v>
      </c>
      <c r="V173" s="8">
        <f t="shared" si="37"/>
        <v>0</v>
      </c>
      <c r="W173" s="8">
        <f t="shared" si="38"/>
        <v>0</v>
      </c>
    </row>
    <row r="174" spans="1:23" x14ac:dyDescent="0.3">
      <c r="A174" s="11"/>
      <c r="B174" s="11"/>
      <c r="C174" s="11"/>
      <c r="D174" s="1"/>
      <c r="E174" s="1"/>
      <c r="F174" s="1"/>
      <c r="G174" s="1"/>
      <c r="H174" s="1"/>
      <c r="I174" s="1"/>
      <c r="J174" s="1"/>
      <c r="K174" s="1"/>
      <c r="L174" s="1"/>
      <c r="M174" s="1"/>
      <c r="N174" s="1"/>
      <c r="O174" s="1"/>
      <c r="Q174" s="8">
        <f t="shared" si="33"/>
        <v>0</v>
      </c>
      <c r="S174" s="8">
        <f t="shared" si="34"/>
        <v>0</v>
      </c>
      <c r="T174" s="8">
        <f t="shared" si="35"/>
        <v>0</v>
      </c>
      <c r="U174" s="8">
        <f t="shared" si="36"/>
        <v>0</v>
      </c>
      <c r="V174" s="8">
        <f t="shared" si="37"/>
        <v>0</v>
      </c>
      <c r="W174" s="8">
        <f t="shared" si="38"/>
        <v>0</v>
      </c>
    </row>
    <row r="175" spans="1:23" x14ac:dyDescent="0.3">
      <c r="A175" s="11"/>
      <c r="B175" s="11"/>
      <c r="C175" s="11"/>
      <c r="D175" s="1"/>
      <c r="E175" s="1"/>
      <c r="F175" s="1"/>
      <c r="G175" s="1"/>
      <c r="H175" s="1"/>
      <c r="I175" s="1"/>
      <c r="J175" s="1"/>
      <c r="K175" s="1"/>
      <c r="L175" s="1"/>
      <c r="M175" s="1"/>
      <c r="N175" s="1"/>
      <c r="O175" s="1"/>
      <c r="Q175" s="8">
        <f t="shared" si="33"/>
        <v>0</v>
      </c>
      <c r="S175" s="8">
        <f t="shared" si="34"/>
        <v>0</v>
      </c>
      <c r="T175" s="8">
        <f t="shared" si="35"/>
        <v>0</v>
      </c>
      <c r="U175" s="8">
        <f t="shared" si="36"/>
        <v>0</v>
      </c>
      <c r="V175" s="8">
        <f t="shared" si="37"/>
        <v>0</v>
      </c>
      <c r="W175" s="8">
        <f t="shared" si="38"/>
        <v>0</v>
      </c>
    </row>
    <row r="176" spans="1:23" x14ac:dyDescent="0.3">
      <c r="A176" s="11"/>
      <c r="B176" s="11"/>
      <c r="C176" s="11"/>
      <c r="D176" s="1"/>
      <c r="E176" s="1"/>
      <c r="F176" s="1"/>
      <c r="G176" s="1"/>
      <c r="H176" s="1"/>
      <c r="I176" s="1"/>
      <c r="J176" s="1"/>
      <c r="K176" s="1"/>
      <c r="L176" s="1"/>
      <c r="M176" s="1"/>
      <c r="N176" s="1"/>
      <c r="O176" s="1"/>
      <c r="Q176" s="8">
        <f t="shared" si="33"/>
        <v>0</v>
      </c>
      <c r="S176" s="8">
        <f t="shared" si="34"/>
        <v>0</v>
      </c>
      <c r="T176" s="8">
        <f t="shared" si="35"/>
        <v>0</v>
      </c>
      <c r="U176" s="8">
        <f t="shared" si="36"/>
        <v>0</v>
      </c>
      <c r="V176" s="8">
        <f t="shared" si="37"/>
        <v>0</v>
      </c>
      <c r="W176" s="8">
        <f t="shared" si="38"/>
        <v>0</v>
      </c>
    </row>
    <row r="177" spans="1:23" x14ac:dyDescent="0.3">
      <c r="A177" s="11"/>
      <c r="B177" s="11"/>
      <c r="C177" s="11"/>
      <c r="D177" s="1"/>
      <c r="E177" s="1"/>
      <c r="F177" s="1"/>
      <c r="G177" s="1"/>
      <c r="H177" s="1"/>
      <c r="I177" s="1"/>
      <c r="J177" s="1"/>
      <c r="K177" s="1"/>
      <c r="L177" s="1"/>
      <c r="M177" s="1"/>
      <c r="N177" s="1"/>
      <c r="O177" s="1"/>
      <c r="Q177" s="8">
        <f t="shared" si="33"/>
        <v>0</v>
      </c>
      <c r="S177" s="8">
        <f t="shared" si="34"/>
        <v>0</v>
      </c>
      <c r="T177" s="8">
        <f t="shared" si="35"/>
        <v>0</v>
      </c>
      <c r="U177" s="8">
        <f t="shared" si="36"/>
        <v>0</v>
      </c>
      <c r="V177" s="8">
        <f t="shared" si="37"/>
        <v>0</v>
      </c>
      <c r="W177" s="8">
        <f t="shared" si="38"/>
        <v>0</v>
      </c>
    </row>
    <row r="178" spans="1:23" x14ac:dyDescent="0.3">
      <c r="A178" s="11"/>
      <c r="B178" s="11"/>
      <c r="C178" s="11"/>
      <c r="D178" s="1"/>
      <c r="E178" s="1"/>
      <c r="F178" s="1"/>
      <c r="G178" s="1"/>
      <c r="H178" s="1"/>
      <c r="I178" s="1"/>
      <c r="J178" s="1"/>
      <c r="K178" s="1"/>
      <c r="L178" s="1"/>
      <c r="M178" s="1"/>
      <c r="N178" s="1"/>
      <c r="O178" s="1"/>
      <c r="Q178" s="8">
        <f t="shared" si="33"/>
        <v>0</v>
      </c>
      <c r="S178" s="8">
        <f t="shared" si="34"/>
        <v>0</v>
      </c>
      <c r="T178" s="8">
        <f t="shared" si="35"/>
        <v>0</v>
      </c>
      <c r="U178" s="8">
        <f t="shared" si="36"/>
        <v>0</v>
      </c>
      <c r="V178" s="8">
        <f t="shared" si="37"/>
        <v>0</v>
      </c>
      <c r="W178" s="8">
        <f t="shared" si="38"/>
        <v>0</v>
      </c>
    </row>
    <row r="179" spans="1:23" x14ac:dyDescent="0.3">
      <c r="A179" s="11"/>
      <c r="B179" s="11"/>
      <c r="C179" s="11"/>
      <c r="D179" s="1"/>
      <c r="E179" s="1"/>
      <c r="F179" s="1"/>
      <c r="G179" s="1"/>
      <c r="H179" s="1"/>
      <c r="I179" s="1"/>
      <c r="J179" s="1"/>
      <c r="K179" s="1"/>
      <c r="L179" s="1"/>
      <c r="M179" s="1"/>
      <c r="N179" s="1"/>
      <c r="O179" s="1"/>
      <c r="Q179" s="8">
        <f t="shared" si="33"/>
        <v>0</v>
      </c>
      <c r="S179" s="8">
        <f t="shared" si="34"/>
        <v>0</v>
      </c>
      <c r="T179" s="8">
        <f t="shared" si="35"/>
        <v>0</v>
      </c>
      <c r="U179" s="8">
        <f t="shared" si="36"/>
        <v>0</v>
      </c>
      <c r="V179" s="8">
        <f t="shared" si="37"/>
        <v>0</v>
      </c>
      <c r="W179" s="8">
        <f t="shared" si="38"/>
        <v>0</v>
      </c>
    </row>
    <row r="180" spans="1:23" x14ac:dyDescent="0.3">
      <c r="A180" s="11"/>
      <c r="B180" s="11"/>
      <c r="C180" s="11"/>
      <c r="D180" s="1"/>
      <c r="E180" s="1"/>
      <c r="F180" s="1"/>
      <c r="G180" s="1"/>
      <c r="H180" s="1"/>
      <c r="I180" s="1"/>
      <c r="J180" s="1"/>
      <c r="K180" s="1"/>
      <c r="L180" s="1"/>
      <c r="M180" s="1"/>
      <c r="N180" s="1"/>
      <c r="O180" s="1"/>
      <c r="Q180" s="8">
        <f t="shared" si="33"/>
        <v>0</v>
      </c>
      <c r="S180" s="8">
        <f t="shared" si="34"/>
        <v>0</v>
      </c>
      <c r="T180" s="8">
        <f t="shared" si="35"/>
        <v>0</v>
      </c>
      <c r="U180" s="8">
        <f t="shared" si="36"/>
        <v>0</v>
      </c>
      <c r="V180" s="8">
        <f t="shared" si="37"/>
        <v>0</v>
      </c>
      <c r="W180" s="8">
        <f t="shared" si="38"/>
        <v>0</v>
      </c>
    </row>
    <row r="181" spans="1:23" x14ac:dyDescent="0.3">
      <c r="A181" s="11"/>
      <c r="B181" s="11"/>
      <c r="C181" s="11"/>
      <c r="D181" s="1"/>
      <c r="E181" s="1"/>
      <c r="F181" s="1"/>
      <c r="G181" s="1"/>
      <c r="H181" s="1"/>
      <c r="I181" s="1"/>
      <c r="J181" s="1"/>
      <c r="K181" s="1"/>
      <c r="L181" s="1"/>
      <c r="M181" s="1"/>
      <c r="N181" s="1"/>
      <c r="O181" s="1"/>
      <c r="Q181" s="8">
        <f t="shared" si="33"/>
        <v>0</v>
      </c>
      <c r="S181" s="8">
        <f t="shared" si="34"/>
        <v>0</v>
      </c>
      <c r="T181" s="8">
        <f t="shared" si="35"/>
        <v>0</v>
      </c>
      <c r="U181" s="8">
        <f t="shared" si="36"/>
        <v>0</v>
      </c>
      <c r="V181" s="8">
        <f t="shared" si="37"/>
        <v>0</v>
      </c>
      <c r="W181" s="8">
        <f t="shared" si="38"/>
        <v>0</v>
      </c>
    </row>
    <row r="182" spans="1:23" x14ac:dyDescent="0.3">
      <c r="A182" s="11"/>
      <c r="B182" s="11"/>
      <c r="C182" s="11"/>
      <c r="D182" s="1"/>
      <c r="E182" s="1"/>
      <c r="F182" s="1"/>
      <c r="G182" s="1"/>
      <c r="H182" s="1"/>
      <c r="I182" s="1"/>
      <c r="J182" s="1"/>
      <c r="K182" s="1"/>
      <c r="L182" s="1"/>
      <c r="M182" s="1"/>
      <c r="N182" s="1"/>
      <c r="O182" s="1"/>
      <c r="Q182" s="8">
        <f t="shared" si="33"/>
        <v>0</v>
      </c>
      <c r="S182" s="8">
        <f t="shared" si="34"/>
        <v>0</v>
      </c>
      <c r="T182" s="8">
        <f t="shared" si="35"/>
        <v>0</v>
      </c>
      <c r="U182" s="8">
        <f t="shared" si="36"/>
        <v>0</v>
      </c>
      <c r="V182" s="8">
        <f t="shared" si="37"/>
        <v>0</v>
      </c>
      <c r="W182" s="8">
        <f t="shared" si="38"/>
        <v>0</v>
      </c>
    </row>
    <row r="183" spans="1:23" x14ac:dyDescent="0.3">
      <c r="A183" s="11"/>
      <c r="B183" s="11"/>
      <c r="C183" s="11"/>
      <c r="D183" s="1"/>
      <c r="E183" s="1"/>
      <c r="F183" s="1"/>
      <c r="G183" s="1"/>
      <c r="H183" s="1"/>
      <c r="I183" s="1"/>
      <c r="J183" s="1"/>
      <c r="K183" s="1"/>
      <c r="L183" s="1"/>
      <c r="M183" s="1"/>
      <c r="N183" s="1"/>
      <c r="O183" s="1"/>
      <c r="Q183" s="8">
        <f t="shared" si="33"/>
        <v>0</v>
      </c>
      <c r="S183" s="8">
        <f t="shared" si="34"/>
        <v>0</v>
      </c>
      <c r="T183" s="8">
        <f t="shared" si="35"/>
        <v>0</v>
      </c>
      <c r="U183" s="8">
        <f t="shared" si="36"/>
        <v>0</v>
      </c>
      <c r="V183" s="8">
        <f t="shared" si="37"/>
        <v>0</v>
      </c>
      <c r="W183" s="8">
        <f t="shared" si="38"/>
        <v>0</v>
      </c>
    </row>
    <row r="184" spans="1:23" x14ac:dyDescent="0.3">
      <c r="A184" s="11"/>
      <c r="B184" s="11"/>
      <c r="C184" s="11"/>
      <c r="D184" s="1"/>
      <c r="E184" s="1"/>
      <c r="F184" s="1"/>
      <c r="G184" s="1"/>
      <c r="H184" s="1"/>
      <c r="I184" s="1"/>
      <c r="J184" s="1"/>
      <c r="K184" s="1"/>
      <c r="L184" s="1"/>
      <c r="M184" s="1"/>
      <c r="N184" s="1"/>
      <c r="O184" s="1"/>
      <c r="Q184" s="8">
        <f t="shared" si="33"/>
        <v>0</v>
      </c>
      <c r="S184" s="8">
        <f t="shared" si="34"/>
        <v>0</v>
      </c>
      <c r="T184" s="8">
        <f t="shared" si="35"/>
        <v>0</v>
      </c>
      <c r="U184" s="8">
        <f t="shared" si="36"/>
        <v>0</v>
      </c>
      <c r="V184" s="8">
        <f t="shared" si="37"/>
        <v>0</v>
      </c>
      <c r="W184" s="8">
        <f t="shared" si="38"/>
        <v>0</v>
      </c>
    </row>
    <row r="185" spans="1:23" x14ac:dyDescent="0.3">
      <c r="A185" s="11"/>
      <c r="B185" s="11"/>
      <c r="C185" s="11"/>
      <c r="D185" s="1"/>
      <c r="E185" s="1"/>
      <c r="F185" s="1"/>
      <c r="G185" s="1"/>
      <c r="H185" s="1"/>
      <c r="I185" s="1"/>
      <c r="J185" s="1"/>
      <c r="K185" s="1"/>
      <c r="L185" s="1"/>
      <c r="M185" s="1"/>
      <c r="N185" s="1"/>
      <c r="O185" s="1"/>
      <c r="Q185" s="8">
        <f t="shared" si="33"/>
        <v>0</v>
      </c>
      <c r="S185" s="8">
        <f t="shared" si="34"/>
        <v>0</v>
      </c>
      <c r="T185" s="8">
        <f t="shared" si="35"/>
        <v>0</v>
      </c>
      <c r="U185" s="8">
        <f t="shared" si="36"/>
        <v>0</v>
      </c>
      <c r="V185" s="8">
        <f t="shared" si="37"/>
        <v>0</v>
      </c>
      <c r="W185" s="8">
        <f t="shared" si="38"/>
        <v>0</v>
      </c>
    </row>
    <row r="186" spans="1:23" x14ac:dyDescent="0.3">
      <c r="A186" s="11"/>
      <c r="B186" s="11"/>
      <c r="C186" s="11"/>
      <c r="D186" s="1"/>
      <c r="E186" s="1"/>
      <c r="F186" s="1"/>
      <c r="G186" s="1"/>
      <c r="H186" s="1"/>
      <c r="I186" s="1"/>
      <c r="J186" s="1"/>
      <c r="K186" s="1"/>
      <c r="L186" s="1"/>
      <c r="M186" s="1"/>
      <c r="N186" s="1"/>
      <c r="O186" s="1"/>
      <c r="Q186" s="8">
        <f t="shared" si="33"/>
        <v>0</v>
      </c>
      <c r="S186" s="8">
        <f t="shared" si="34"/>
        <v>0</v>
      </c>
      <c r="T186" s="8">
        <f t="shared" si="35"/>
        <v>0</v>
      </c>
      <c r="U186" s="8">
        <f t="shared" si="36"/>
        <v>0</v>
      </c>
      <c r="V186" s="8">
        <f t="shared" si="37"/>
        <v>0</v>
      </c>
      <c r="W186" s="8">
        <f t="shared" si="38"/>
        <v>0</v>
      </c>
    </row>
    <row r="187" spans="1:23" x14ac:dyDescent="0.3">
      <c r="A187" s="11"/>
      <c r="B187" s="11"/>
      <c r="C187" s="11"/>
      <c r="D187" s="1"/>
      <c r="E187" s="1"/>
      <c r="F187" s="1"/>
      <c r="G187" s="1"/>
      <c r="H187" s="1"/>
      <c r="I187" s="1"/>
      <c r="J187" s="1"/>
      <c r="K187" s="1"/>
      <c r="L187" s="1"/>
      <c r="M187" s="1"/>
      <c r="N187" s="1"/>
      <c r="O187" s="1"/>
      <c r="Q187" s="8">
        <f t="shared" si="33"/>
        <v>0</v>
      </c>
      <c r="S187" s="8">
        <f t="shared" si="34"/>
        <v>0</v>
      </c>
      <c r="T187" s="8">
        <f t="shared" si="35"/>
        <v>0</v>
      </c>
      <c r="U187" s="8">
        <f t="shared" si="36"/>
        <v>0</v>
      </c>
      <c r="V187" s="8">
        <f t="shared" si="37"/>
        <v>0</v>
      </c>
      <c r="W187" s="8">
        <f t="shared" si="38"/>
        <v>0</v>
      </c>
    </row>
    <row r="188" spans="1:23" x14ac:dyDescent="0.3">
      <c r="A188" s="11"/>
      <c r="B188" s="11"/>
      <c r="C188" s="11"/>
      <c r="D188" s="1"/>
      <c r="E188" s="1"/>
      <c r="F188" s="1"/>
      <c r="G188" s="1"/>
      <c r="H188" s="1"/>
      <c r="I188" s="1"/>
      <c r="J188" s="1"/>
      <c r="K188" s="1"/>
      <c r="L188" s="1"/>
      <c r="M188" s="1"/>
      <c r="N188" s="1"/>
      <c r="O188" s="1"/>
      <c r="Q188" s="8">
        <f t="shared" si="33"/>
        <v>0</v>
      </c>
      <c r="S188" s="8">
        <f t="shared" si="34"/>
        <v>0</v>
      </c>
      <c r="T188" s="8">
        <f t="shared" si="35"/>
        <v>0</v>
      </c>
      <c r="U188" s="8">
        <f t="shared" si="36"/>
        <v>0</v>
      </c>
      <c r="V188" s="8">
        <f t="shared" si="37"/>
        <v>0</v>
      </c>
      <c r="W188" s="8">
        <f t="shared" si="38"/>
        <v>0</v>
      </c>
    </row>
    <row r="189" spans="1:23" x14ac:dyDescent="0.3">
      <c r="A189" s="11"/>
      <c r="B189" s="11"/>
      <c r="C189" s="11"/>
      <c r="D189" s="1"/>
      <c r="E189" s="1"/>
      <c r="F189" s="1"/>
      <c r="G189" s="1"/>
      <c r="H189" s="1"/>
      <c r="I189" s="1"/>
      <c r="J189" s="1"/>
      <c r="K189" s="1"/>
      <c r="L189" s="1"/>
      <c r="M189" s="1"/>
      <c r="N189" s="1"/>
      <c r="O189" s="1"/>
      <c r="Q189" s="8">
        <f t="shared" si="33"/>
        <v>0</v>
      </c>
      <c r="S189" s="8">
        <f t="shared" si="34"/>
        <v>0</v>
      </c>
      <c r="T189" s="8">
        <f t="shared" si="35"/>
        <v>0</v>
      </c>
      <c r="U189" s="8">
        <f t="shared" si="36"/>
        <v>0</v>
      </c>
      <c r="V189" s="8">
        <f t="shared" si="37"/>
        <v>0</v>
      </c>
      <c r="W189" s="8">
        <f t="shared" si="38"/>
        <v>0</v>
      </c>
    </row>
    <row r="190" spans="1:23" x14ac:dyDescent="0.3">
      <c r="A190" s="11"/>
      <c r="B190" s="11"/>
      <c r="C190" s="11"/>
      <c r="D190" s="1"/>
      <c r="E190" s="1"/>
      <c r="F190" s="1"/>
      <c r="G190" s="1"/>
      <c r="H190" s="1"/>
      <c r="I190" s="1"/>
      <c r="J190" s="1"/>
      <c r="K190" s="1"/>
      <c r="L190" s="1"/>
      <c r="M190" s="1"/>
      <c r="N190" s="1"/>
      <c r="O190" s="1"/>
      <c r="Q190" s="8">
        <f t="shared" si="33"/>
        <v>0</v>
      </c>
      <c r="S190" s="8">
        <f t="shared" si="34"/>
        <v>0</v>
      </c>
      <c r="T190" s="8">
        <f t="shared" si="35"/>
        <v>0</v>
      </c>
      <c r="U190" s="8">
        <f t="shared" si="36"/>
        <v>0</v>
      </c>
      <c r="V190" s="8">
        <f t="shared" si="37"/>
        <v>0</v>
      </c>
      <c r="W190" s="8">
        <f t="shared" si="38"/>
        <v>0</v>
      </c>
    </row>
    <row r="191" spans="1:23" x14ac:dyDescent="0.3">
      <c r="A191" s="11"/>
      <c r="B191" s="11"/>
      <c r="C191" s="11"/>
      <c r="D191" s="1"/>
      <c r="E191" s="1"/>
      <c r="F191" s="1"/>
      <c r="G191" s="1"/>
      <c r="H191" s="1"/>
      <c r="I191" s="1"/>
      <c r="J191" s="1"/>
      <c r="K191" s="1"/>
      <c r="L191" s="1"/>
      <c r="M191" s="1"/>
      <c r="N191" s="1"/>
      <c r="O191" s="1"/>
      <c r="Q191" s="8">
        <f t="shared" si="33"/>
        <v>0</v>
      </c>
      <c r="S191" s="8">
        <f t="shared" si="34"/>
        <v>0</v>
      </c>
      <c r="T191" s="8">
        <f t="shared" si="35"/>
        <v>0</v>
      </c>
      <c r="U191" s="8">
        <f t="shared" si="36"/>
        <v>0</v>
      </c>
      <c r="V191" s="8">
        <f t="shared" si="37"/>
        <v>0</v>
      </c>
      <c r="W191" s="8">
        <f t="shared" si="38"/>
        <v>0</v>
      </c>
    </row>
    <row r="192" spans="1:23" x14ac:dyDescent="0.3">
      <c r="A192" s="11"/>
      <c r="B192" s="11"/>
      <c r="C192" s="11"/>
      <c r="D192" s="1"/>
      <c r="E192" s="1"/>
      <c r="F192" s="1"/>
      <c r="G192" s="1"/>
      <c r="H192" s="1"/>
      <c r="I192" s="1"/>
      <c r="J192" s="1"/>
      <c r="K192" s="1"/>
      <c r="L192" s="1"/>
      <c r="M192" s="1"/>
      <c r="N192" s="1"/>
      <c r="O192" s="1"/>
      <c r="Q192" s="8">
        <f t="shared" si="33"/>
        <v>0</v>
      </c>
      <c r="S192" s="8">
        <f t="shared" si="34"/>
        <v>0</v>
      </c>
      <c r="T192" s="8">
        <f t="shared" si="35"/>
        <v>0</v>
      </c>
      <c r="U192" s="8">
        <f t="shared" si="36"/>
        <v>0</v>
      </c>
      <c r="V192" s="8">
        <f t="shared" si="37"/>
        <v>0</v>
      </c>
      <c r="W192" s="8">
        <f t="shared" si="38"/>
        <v>0</v>
      </c>
    </row>
    <row r="193" spans="1:23" outlineLevel="1" x14ac:dyDescent="0.3">
      <c r="A193" s="11"/>
      <c r="B193" s="11"/>
      <c r="C193" s="11"/>
      <c r="D193" s="1"/>
      <c r="E193" s="1"/>
      <c r="F193" s="1"/>
      <c r="G193" s="1"/>
      <c r="H193" s="1"/>
      <c r="I193" s="1"/>
      <c r="J193" s="1"/>
      <c r="K193" s="1"/>
      <c r="L193" s="1"/>
      <c r="M193" s="1"/>
      <c r="N193" s="1"/>
      <c r="O193" s="1"/>
      <c r="Q193" s="8">
        <f t="shared" si="33"/>
        <v>0</v>
      </c>
      <c r="S193" s="8">
        <f t="shared" si="34"/>
        <v>0</v>
      </c>
      <c r="T193" s="8">
        <f t="shared" si="35"/>
        <v>0</v>
      </c>
      <c r="U193" s="8">
        <f t="shared" si="36"/>
        <v>0</v>
      </c>
      <c r="V193" s="8">
        <f t="shared" si="37"/>
        <v>0</v>
      </c>
      <c r="W193" s="8">
        <f t="shared" si="38"/>
        <v>0</v>
      </c>
    </row>
    <row r="194" spans="1:23" outlineLevel="1" x14ac:dyDescent="0.3">
      <c r="A194" s="11"/>
      <c r="B194" s="11"/>
      <c r="C194" s="11"/>
      <c r="D194" s="1"/>
      <c r="E194" s="1"/>
      <c r="F194" s="1"/>
      <c r="G194" s="1"/>
      <c r="H194" s="1"/>
      <c r="I194" s="1"/>
      <c r="J194" s="1"/>
      <c r="K194" s="1"/>
      <c r="L194" s="1"/>
      <c r="M194" s="1"/>
      <c r="N194" s="1"/>
      <c r="O194" s="1"/>
      <c r="Q194" s="8">
        <f t="shared" si="33"/>
        <v>0</v>
      </c>
      <c r="S194" s="8">
        <f t="shared" si="34"/>
        <v>0</v>
      </c>
      <c r="T194" s="8">
        <f t="shared" si="35"/>
        <v>0</v>
      </c>
      <c r="U194" s="8">
        <f t="shared" si="36"/>
        <v>0</v>
      </c>
      <c r="V194" s="8">
        <f t="shared" si="37"/>
        <v>0</v>
      </c>
      <c r="W194" s="8">
        <f t="shared" si="38"/>
        <v>0</v>
      </c>
    </row>
    <row r="195" spans="1:23" outlineLevel="1" x14ac:dyDescent="0.3">
      <c r="A195" s="11"/>
      <c r="B195" s="11"/>
      <c r="C195" s="11"/>
      <c r="D195" s="1"/>
      <c r="E195" s="1"/>
      <c r="F195" s="1"/>
      <c r="G195" s="1"/>
      <c r="H195" s="1"/>
      <c r="I195" s="1"/>
      <c r="J195" s="1"/>
      <c r="K195" s="1"/>
      <c r="L195" s="1"/>
      <c r="M195" s="1"/>
      <c r="N195" s="1"/>
      <c r="O195" s="1"/>
      <c r="Q195" s="8">
        <f t="shared" si="33"/>
        <v>0</v>
      </c>
      <c r="S195" s="8">
        <f t="shared" si="34"/>
        <v>0</v>
      </c>
      <c r="T195" s="8">
        <f t="shared" si="35"/>
        <v>0</v>
      </c>
      <c r="U195" s="8">
        <f t="shared" si="36"/>
        <v>0</v>
      </c>
      <c r="V195" s="8">
        <f t="shared" si="37"/>
        <v>0</v>
      </c>
      <c r="W195" s="8">
        <f t="shared" si="38"/>
        <v>0</v>
      </c>
    </row>
    <row r="196" spans="1:23" outlineLevel="1" x14ac:dyDescent="0.3">
      <c r="A196" s="11"/>
      <c r="B196" s="11"/>
      <c r="C196" s="11"/>
      <c r="D196" s="1"/>
      <c r="E196" s="1"/>
      <c r="F196" s="1"/>
      <c r="G196" s="1"/>
      <c r="H196" s="1"/>
      <c r="I196" s="1"/>
      <c r="J196" s="1"/>
      <c r="K196" s="1"/>
      <c r="L196" s="1"/>
      <c r="M196" s="1"/>
      <c r="N196" s="1"/>
      <c r="O196" s="1"/>
      <c r="Q196" s="8">
        <f t="shared" si="33"/>
        <v>0</v>
      </c>
      <c r="S196" s="8">
        <f t="shared" si="34"/>
        <v>0</v>
      </c>
      <c r="T196" s="8">
        <f t="shared" si="35"/>
        <v>0</v>
      </c>
      <c r="U196" s="8">
        <f t="shared" si="36"/>
        <v>0</v>
      </c>
      <c r="V196" s="8">
        <f t="shared" si="37"/>
        <v>0</v>
      </c>
      <c r="W196" s="8">
        <f t="shared" si="38"/>
        <v>0</v>
      </c>
    </row>
    <row r="197" spans="1:23" outlineLevel="1" x14ac:dyDescent="0.3">
      <c r="A197" s="11"/>
      <c r="B197" s="11"/>
      <c r="C197" s="11"/>
      <c r="D197" s="1"/>
      <c r="E197" s="1"/>
      <c r="F197" s="1"/>
      <c r="G197" s="1"/>
      <c r="H197" s="1"/>
      <c r="I197" s="1"/>
      <c r="J197" s="1"/>
      <c r="K197" s="1"/>
      <c r="L197" s="1"/>
      <c r="M197" s="1"/>
      <c r="N197" s="1"/>
      <c r="O197" s="1"/>
      <c r="Q197" s="8">
        <f t="shared" si="33"/>
        <v>0</v>
      </c>
      <c r="S197" s="8">
        <f t="shared" si="34"/>
        <v>0</v>
      </c>
      <c r="T197" s="8">
        <f t="shared" si="35"/>
        <v>0</v>
      </c>
      <c r="U197" s="8">
        <f t="shared" si="36"/>
        <v>0</v>
      </c>
      <c r="V197" s="8">
        <f t="shared" si="37"/>
        <v>0</v>
      </c>
      <c r="W197" s="8">
        <f t="shared" si="38"/>
        <v>0</v>
      </c>
    </row>
    <row r="198" spans="1:23" outlineLevel="1" x14ac:dyDescent="0.3">
      <c r="A198" s="11"/>
      <c r="B198" s="11"/>
      <c r="C198" s="11"/>
      <c r="D198" s="1"/>
      <c r="E198" s="1"/>
      <c r="F198" s="1"/>
      <c r="G198" s="1"/>
      <c r="H198" s="1"/>
      <c r="I198" s="1"/>
      <c r="J198" s="1"/>
      <c r="K198" s="1"/>
      <c r="L198" s="1"/>
      <c r="M198" s="1"/>
      <c r="N198" s="1"/>
      <c r="O198" s="1"/>
      <c r="Q198" s="8">
        <f t="shared" si="33"/>
        <v>0</v>
      </c>
      <c r="S198" s="8">
        <f t="shared" si="34"/>
        <v>0</v>
      </c>
      <c r="T198" s="8">
        <f t="shared" si="35"/>
        <v>0</v>
      </c>
      <c r="U198" s="8">
        <f t="shared" si="36"/>
        <v>0</v>
      </c>
      <c r="V198" s="8">
        <f t="shared" si="37"/>
        <v>0</v>
      </c>
      <c r="W198" s="8">
        <f t="shared" si="38"/>
        <v>0</v>
      </c>
    </row>
    <row r="199" spans="1:23" outlineLevel="1" x14ac:dyDescent="0.3">
      <c r="A199" s="11"/>
      <c r="B199" s="11"/>
      <c r="C199" s="11"/>
      <c r="D199" s="1"/>
      <c r="E199" s="1"/>
      <c r="F199" s="1"/>
      <c r="G199" s="1"/>
      <c r="H199" s="1"/>
      <c r="I199" s="1"/>
      <c r="J199" s="1"/>
      <c r="K199" s="1"/>
      <c r="L199" s="1"/>
      <c r="M199" s="1"/>
      <c r="N199" s="1"/>
      <c r="O199" s="1"/>
      <c r="Q199" s="8">
        <f t="shared" si="33"/>
        <v>0</v>
      </c>
      <c r="S199" s="8">
        <f t="shared" si="34"/>
        <v>0</v>
      </c>
      <c r="T199" s="8">
        <f t="shared" si="35"/>
        <v>0</v>
      </c>
      <c r="U199" s="8">
        <f t="shared" si="36"/>
        <v>0</v>
      </c>
      <c r="V199" s="8">
        <f t="shared" si="37"/>
        <v>0</v>
      </c>
      <c r="W199" s="8">
        <f t="shared" si="38"/>
        <v>0</v>
      </c>
    </row>
    <row r="200" spans="1:23" outlineLevel="1" x14ac:dyDescent="0.3">
      <c r="A200" s="11"/>
      <c r="B200" s="11"/>
      <c r="C200" s="11"/>
      <c r="D200" s="1"/>
      <c r="E200" s="1"/>
      <c r="F200" s="1"/>
      <c r="G200" s="1"/>
      <c r="H200" s="1"/>
      <c r="I200" s="1"/>
      <c r="J200" s="1"/>
      <c r="K200" s="1"/>
      <c r="L200" s="1"/>
      <c r="M200" s="1"/>
      <c r="N200" s="1"/>
      <c r="O200" s="1"/>
      <c r="Q200" s="8">
        <f t="shared" si="33"/>
        <v>0</v>
      </c>
      <c r="S200" s="8">
        <f t="shared" si="34"/>
        <v>0</v>
      </c>
      <c r="T200" s="8">
        <f t="shared" si="35"/>
        <v>0</v>
      </c>
      <c r="U200" s="8">
        <f t="shared" si="36"/>
        <v>0</v>
      </c>
      <c r="V200" s="8">
        <f t="shared" si="37"/>
        <v>0</v>
      </c>
      <c r="W200" s="8">
        <f t="shared" si="38"/>
        <v>0</v>
      </c>
    </row>
    <row r="201" spans="1:23" outlineLevel="1" x14ac:dyDescent="0.3">
      <c r="A201" s="11"/>
      <c r="B201" s="11"/>
      <c r="C201" s="11"/>
      <c r="D201" s="1"/>
      <c r="E201" s="1"/>
      <c r="F201" s="1"/>
      <c r="G201" s="1"/>
      <c r="H201" s="1"/>
      <c r="I201" s="1"/>
      <c r="J201" s="1"/>
      <c r="K201" s="1"/>
      <c r="L201" s="1"/>
      <c r="M201" s="1"/>
      <c r="N201" s="1"/>
      <c r="O201" s="1"/>
      <c r="Q201" s="8">
        <f t="shared" si="33"/>
        <v>0</v>
      </c>
      <c r="S201" s="8">
        <f t="shared" si="34"/>
        <v>0</v>
      </c>
      <c r="T201" s="8">
        <f t="shared" si="35"/>
        <v>0</v>
      </c>
      <c r="U201" s="8">
        <f t="shared" si="36"/>
        <v>0</v>
      </c>
      <c r="V201" s="8">
        <f t="shared" si="37"/>
        <v>0</v>
      </c>
      <c r="W201" s="8">
        <f t="shared" si="38"/>
        <v>0</v>
      </c>
    </row>
    <row r="202" spans="1:23" outlineLevel="1" x14ac:dyDescent="0.3">
      <c r="A202" s="11"/>
      <c r="B202" s="11"/>
      <c r="C202" s="11"/>
      <c r="D202" s="1"/>
      <c r="E202" s="1"/>
      <c r="F202" s="1"/>
      <c r="G202" s="1"/>
      <c r="H202" s="1"/>
      <c r="I202" s="1"/>
      <c r="J202" s="1"/>
      <c r="K202" s="1"/>
      <c r="L202" s="1"/>
      <c r="M202" s="1"/>
      <c r="N202" s="1"/>
      <c r="O202" s="1"/>
      <c r="Q202" s="8">
        <f t="shared" si="33"/>
        <v>0</v>
      </c>
      <c r="S202" s="8">
        <f t="shared" si="34"/>
        <v>0</v>
      </c>
      <c r="T202" s="8">
        <f t="shared" si="35"/>
        <v>0</v>
      </c>
      <c r="U202" s="8">
        <f t="shared" si="36"/>
        <v>0</v>
      </c>
      <c r="V202" s="8">
        <f t="shared" si="37"/>
        <v>0</v>
      </c>
      <c r="W202" s="8">
        <f t="shared" si="38"/>
        <v>0</v>
      </c>
    </row>
    <row r="203" spans="1:23" outlineLevel="1" x14ac:dyDescent="0.3">
      <c r="A203" s="11"/>
      <c r="B203" s="11"/>
      <c r="C203" s="11"/>
      <c r="D203" s="1"/>
      <c r="E203" s="1"/>
      <c r="F203" s="1"/>
      <c r="G203" s="1"/>
      <c r="H203" s="1"/>
      <c r="I203" s="1"/>
      <c r="J203" s="1"/>
      <c r="K203" s="1"/>
      <c r="L203" s="1"/>
      <c r="M203" s="1"/>
      <c r="N203" s="1"/>
      <c r="O203" s="1"/>
      <c r="Q203" s="8">
        <f t="shared" si="33"/>
        <v>0</v>
      </c>
      <c r="S203" s="8">
        <f t="shared" si="34"/>
        <v>0</v>
      </c>
      <c r="T203" s="8">
        <f t="shared" si="35"/>
        <v>0</v>
      </c>
      <c r="U203" s="8">
        <f t="shared" si="36"/>
        <v>0</v>
      </c>
      <c r="V203" s="8">
        <f t="shared" si="37"/>
        <v>0</v>
      </c>
      <c r="W203" s="8">
        <f t="shared" si="38"/>
        <v>0</v>
      </c>
    </row>
    <row r="204" spans="1:23" outlineLevel="1" x14ac:dyDescent="0.3">
      <c r="A204" s="11"/>
      <c r="B204" s="11"/>
      <c r="C204" s="11"/>
      <c r="D204" s="1"/>
      <c r="E204" s="1"/>
      <c r="F204" s="1"/>
      <c r="G204" s="1"/>
      <c r="H204" s="1"/>
      <c r="I204" s="1"/>
      <c r="J204" s="1"/>
      <c r="K204" s="1"/>
      <c r="L204" s="1"/>
      <c r="M204" s="1"/>
      <c r="N204" s="1"/>
      <c r="O204" s="1"/>
      <c r="Q204" s="8">
        <f t="shared" si="33"/>
        <v>0</v>
      </c>
      <c r="S204" s="8">
        <f t="shared" si="34"/>
        <v>0</v>
      </c>
      <c r="T204" s="8">
        <f t="shared" si="35"/>
        <v>0</v>
      </c>
      <c r="U204" s="8">
        <f t="shared" si="36"/>
        <v>0</v>
      </c>
      <c r="V204" s="8">
        <f t="shared" si="37"/>
        <v>0</v>
      </c>
      <c r="W204" s="8">
        <f t="shared" si="38"/>
        <v>0</v>
      </c>
    </row>
    <row r="205" spans="1:23" outlineLevel="1" x14ac:dyDescent="0.3">
      <c r="A205" s="11"/>
      <c r="B205" s="11"/>
      <c r="C205" s="11"/>
      <c r="D205" s="1"/>
      <c r="E205" s="1"/>
      <c r="F205" s="1"/>
      <c r="G205" s="1"/>
      <c r="H205" s="1"/>
      <c r="I205" s="1"/>
      <c r="J205" s="1"/>
      <c r="K205" s="1"/>
      <c r="L205" s="1"/>
      <c r="M205" s="1"/>
      <c r="N205" s="1"/>
      <c r="O205" s="1"/>
      <c r="Q205" s="8">
        <f t="shared" si="33"/>
        <v>0</v>
      </c>
      <c r="S205" s="8">
        <f t="shared" si="34"/>
        <v>0</v>
      </c>
      <c r="T205" s="8">
        <f t="shared" si="35"/>
        <v>0</v>
      </c>
      <c r="U205" s="8">
        <f t="shared" si="36"/>
        <v>0</v>
      </c>
      <c r="V205" s="8">
        <f t="shared" si="37"/>
        <v>0</v>
      </c>
      <c r="W205" s="8">
        <f t="shared" si="38"/>
        <v>0</v>
      </c>
    </row>
    <row r="206" spans="1:23" outlineLevel="1" x14ac:dyDescent="0.3">
      <c r="A206" s="11"/>
      <c r="B206" s="11"/>
      <c r="C206" s="11"/>
      <c r="D206" s="1"/>
      <c r="E206" s="1"/>
      <c r="F206" s="1"/>
      <c r="G206" s="1"/>
      <c r="H206" s="1"/>
      <c r="I206" s="1"/>
      <c r="J206" s="1"/>
      <c r="K206" s="1"/>
      <c r="L206" s="1"/>
      <c r="M206" s="1"/>
      <c r="N206" s="1"/>
      <c r="O206" s="1"/>
      <c r="Q206" s="8">
        <f t="shared" si="33"/>
        <v>0</v>
      </c>
      <c r="S206" s="8">
        <f t="shared" si="34"/>
        <v>0</v>
      </c>
      <c r="T206" s="8">
        <f t="shared" si="35"/>
        <v>0</v>
      </c>
      <c r="U206" s="8">
        <f t="shared" si="36"/>
        <v>0</v>
      </c>
      <c r="V206" s="8">
        <f t="shared" si="37"/>
        <v>0</v>
      </c>
      <c r="W206" s="8">
        <f t="shared" si="38"/>
        <v>0</v>
      </c>
    </row>
    <row r="207" spans="1:23" outlineLevel="1" x14ac:dyDescent="0.3">
      <c r="A207" s="11"/>
      <c r="B207" s="11"/>
      <c r="C207" s="11"/>
      <c r="D207" s="1"/>
      <c r="E207" s="1"/>
      <c r="F207" s="1"/>
      <c r="G207" s="1"/>
      <c r="H207" s="1"/>
      <c r="I207" s="1"/>
      <c r="J207" s="1"/>
      <c r="K207" s="1"/>
      <c r="L207" s="1"/>
      <c r="M207" s="1"/>
      <c r="N207" s="1"/>
      <c r="O207" s="1"/>
      <c r="Q207" s="8">
        <f t="shared" si="33"/>
        <v>0</v>
      </c>
      <c r="S207" s="8">
        <f t="shared" si="34"/>
        <v>0</v>
      </c>
      <c r="T207" s="8">
        <f t="shared" si="35"/>
        <v>0</v>
      </c>
      <c r="U207" s="8">
        <f t="shared" si="36"/>
        <v>0</v>
      </c>
      <c r="V207" s="8">
        <f t="shared" si="37"/>
        <v>0</v>
      </c>
      <c r="W207" s="8">
        <f t="shared" si="38"/>
        <v>0</v>
      </c>
    </row>
    <row r="208" spans="1:23" outlineLevel="1" x14ac:dyDescent="0.3">
      <c r="A208" s="11"/>
      <c r="B208" s="11"/>
      <c r="C208" s="11"/>
      <c r="D208" s="1"/>
      <c r="E208" s="1"/>
      <c r="F208" s="1"/>
      <c r="G208" s="1"/>
      <c r="H208" s="1"/>
      <c r="I208" s="1"/>
      <c r="J208" s="1"/>
      <c r="K208" s="1"/>
      <c r="L208" s="1"/>
      <c r="M208" s="1"/>
      <c r="N208" s="1"/>
      <c r="O208" s="1"/>
      <c r="Q208" s="8">
        <f t="shared" si="33"/>
        <v>0</v>
      </c>
      <c r="S208" s="8">
        <f t="shared" si="34"/>
        <v>0</v>
      </c>
      <c r="T208" s="8">
        <f t="shared" si="35"/>
        <v>0</v>
      </c>
      <c r="U208" s="8">
        <f t="shared" si="36"/>
        <v>0</v>
      </c>
      <c r="V208" s="8">
        <f t="shared" si="37"/>
        <v>0</v>
      </c>
      <c r="W208" s="8">
        <f t="shared" si="38"/>
        <v>0</v>
      </c>
    </row>
    <row r="209" spans="1:23" outlineLevel="1" x14ac:dyDescent="0.3">
      <c r="A209" s="11"/>
      <c r="B209" s="11"/>
      <c r="C209" s="11"/>
      <c r="D209" s="1"/>
      <c r="E209" s="1"/>
      <c r="F209" s="1"/>
      <c r="G209" s="1"/>
      <c r="H209" s="1"/>
      <c r="I209" s="1"/>
      <c r="J209" s="1"/>
      <c r="K209" s="1"/>
      <c r="L209" s="1"/>
      <c r="M209" s="1"/>
      <c r="N209" s="1"/>
      <c r="O209" s="1"/>
      <c r="Q209" s="8">
        <f t="shared" si="33"/>
        <v>0</v>
      </c>
      <c r="S209" s="8">
        <f t="shared" si="34"/>
        <v>0</v>
      </c>
      <c r="T209" s="8">
        <f t="shared" si="35"/>
        <v>0</v>
      </c>
      <c r="U209" s="8">
        <f t="shared" si="36"/>
        <v>0</v>
      </c>
      <c r="V209" s="8">
        <f t="shared" si="37"/>
        <v>0</v>
      </c>
      <c r="W209" s="8">
        <f t="shared" si="38"/>
        <v>0</v>
      </c>
    </row>
    <row r="210" spans="1:23" outlineLevel="1" x14ac:dyDescent="0.3">
      <c r="A210" s="11"/>
      <c r="B210" s="11"/>
      <c r="C210" s="11"/>
      <c r="D210" s="1"/>
      <c r="E210" s="1"/>
      <c r="F210" s="1"/>
      <c r="G210" s="1"/>
      <c r="H210" s="1"/>
      <c r="I210" s="1"/>
      <c r="J210" s="1"/>
      <c r="K210" s="1"/>
      <c r="L210" s="1"/>
      <c r="M210" s="1"/>
      <c r="N210" s="1"/>
      <c r="O210" s="1"/>
      <c r="Q210" s="8">
        <f t="shared" si="33"/>
        <v>0</v>
      </c>
      <c r="S210" s="8">
        <f t="shared" si="34"/>
        <v>0</v>
      </c>
      <c r="T210" s="8">
        <f t="shared" si="35"/>
        <v>0</v>
      </c>
      <c r="U210" s="8">
        <f t="shared" si="36"/>
        <v>0</v>
      </c>
      <c r="V210" s="8">
        <f t="shared" si="37"/>
        <v>0</v>
      </c>
      <c r="W210" s="8">
        <f t="shared" si="38"/>
        <v>0</v>
      </c>
    </row>
    <row r="211" spans="1:23" outlineLevel="1" x14ac:dyDescent="0.3">
      <c r="A211" s="11"/>
      <c r="B211" s="11"/>
      <c r="C211" s="11"/>
      <c r="D211" s="1"/>
      <c r="E211" s="1"/>
      <c r="F211" s="1"/>
      <c r="G211" s="1"/>
      <c r="H211" s="1"/>
      <c r="I211" s="1"/>
      <c r="J211" s="1"/>
      <c r="K211" s="1"/>
      <c r="L211" s="1"/>
      <c r="M211" s="1"/>
      <c r="N211" s="1"/>
      <c r="O211" s="1"/>
      <c r="Q211" s="8">
        <f t="shared" si="33"/>
        <v>0</v>
      </c>
      <c r="S211" s="8">
        <f t="shared" si="34"/>
        <v>0</v>
      </c>
      <c r="T211" s="8">
        <f t="shared" si="35"/>
        <v>0</v>
      </c>
      <c r="U211" s="8">
        <f t="shared" si="36"/>
        <v>0</v>
      </c>
      <c r="V211" s="8">
        <f t="shared" si="37"/>
        <v>0</v>
      </c>
      <c r="W211" s="8">
        <f t="shared" si="38"/>
        <v>0</v>
      </c>
    </row>
    <row r="212" spans="1:23" outlineLevel="1" x14ac:dyDescent="0.3">
      <c r="A212" s="11"/>
      <c r="B212" s="11"/>
      <c r="C212" s="11"/>
      <c r="D212" s="1"/>
      <c r="E212" s="1"/>
      <c r="F212" s="1"/>
      <c r="G212" s="1"/>
      <c r="H212" s="1"/>
      <c r="I212" s="1"/>
      <c r="J212" s="1"/>
      <c r="K212" s="1"/>
      <c r="L212" s="1"/>
      <c r="M212" s="1"/>
      <c r="N212" s="1"/>
      <c r="O212" s="1"/>
      <c r="Q212" s="8">
        <f t="shared" si="33"/>
        <v>0</v>
      </c>
      <c r="S212" s="8">
        <f t="shared" si="34"/>
        <v>0</v>
      </c>
      <c r="T212" s="8">
        <f t="shared" si="35"/>
        <v>0</v>
      </c>
      <c r="U212" s="8">
        <f t="shared" si="36"/>
        <v>0</v>
      </c>
      <c r="V212" s="8">
        <f t="shared" si="37"/>
        <v>0</v>
      </c>
      <c r="W212" s="8">
        <f t="shared" si="38"/>
        <v>0</v>
      </c>
    </row>
    <row r="213" spans="1:23" outlineLevel="1" x14ac:dyDescent="0.3">
      <c r="A213" s="11"/>
      <c r="B213" s="11"/>
      <c r="C213" s="11"/>
      <c r="D213" s="1"/>
      <c r="E213" s="1"/>
      <c r="F213" s="1"/>
      <c r="G213" s="1"/>
      <c r="H213" s="1"/>
      <c r="I213" s="1"/>
      <c r="J213" s="1"/>
      <c r="K213" s="1"/>
      <c r="L213" s="1"/>
      <c r="M213" s="1"/>
      <c r="N213" s="1"/>
      <c r="O213" s="1"/>
      <c r="Q213" s="8">
        <f t="shared" si="33"/>
        <v>0</v>
      </c>
      <c r="S213" s="8">
        <f t="shared" si="34"/>
        <v>0</v>
      </c>
      <c r="T213" s="8">
        <f t="shared" si="35"/>
        <v>0</v>
      </c>
      <c r="U213" s="8">
        <f t="shared" si="36"/>
        <v>0</v>
      </c>
      <c r="V213" s="8">
        <f t="shared" si="37"/>
        <v>0</v>
      </c>
      <c r="W213" s="8">
        <f t="shared" si="38"/>
        <v>0</v>
      </c>
    </row>
    <row r="214" spans="1:23" outlineLevel="1" x14ac:dyDescent="0.3">
      <c r="A214" s="11"/>
      <c r="B214" s="11"/>
      <c r="C214" s="11"/>
      <c r="D214" s="1"/>
      <c r="E214" s="1"/>
      <c r="F214" s="1"/>
      <c r="G214" s="1"/>
      <c r="H214" s="1"/>
      <c r="I214" s="1"/>
      <c r="J214" s="1"/>
      <c r="K214" s="1"/>
      <c r="L214" s="1"/>
      <c r="M214" s="1"/>
      <c r="N214" s="1"/>
      <c r="O214" s="1"/>
      <c r="Q214" s="8">
        <f t="shared" si="33"/>
        <v>0</v>
      </c>
      <c r="S214" s="8">
        <f t="shared" si="34"/>
        <v>0</v>
      </c>
      <c r="T214" s="8">
        <f t="shared" si="35"/>
        <v>0</v>
      </c>
      <c r="U214" s="8">
        <f t="shared" si="36"/>
        <v>0</v>
      </c>
      <c r="V214" s="8">
        <f t="shared" si="37"/>
        <v>0</v>
      </c>
      <c r="W214" s="8">
        <f t="shared" si="38"/>
        <v>0</v>
      </c>
    </row>
    <row r="215" spans="1:23" outlineLevel="1" x14ac:dyDescent="0.3">
      <c r="A215" s="11"/>
      <c r="B215" s="11"/>
      <c r="C215" s="11"/>
      <c r="D215" s="1"/>
      <c r="E215" s="1"/>
      <c r="F215" s="1"/>
      <c r="G215" s="1"/>
      <c r="H215" s="1"/>
      <c r="I215" s="1"/>
      <c r="J215" s="1"/>
      <c r="K215" s="1"/>
      <c r="L215" s="1"/>
      <c r="M215" s="1"/>
      <c r="N215" s="1"/>
      <c r="O215" s="1"/>
      <c r="Q215" s="8">
        <f t="shared" si="33"/>
        <v>0</v>
      </c>
      <c r="S215" s="8">
        <f t="shared" si="34"/>
        <v>0</v>
      </c>
      <c r="T215" s="8">
        <f t="shared" si="35"/>
        <v>0</v>
      </c>
      <c r="U215" s="8">
        <f t="shared" si="36"/>
        <v>0</v>
      </c>
      <c r="V215" s="8">
        <f t="shared" si="37"/>
        <v>0</v>
      </c>
      <c r="W215" s="8">
        <f t="shared" si="38"/>
        <v>0</v>
      </c>
    </row>
    <row r="216" spans="1:23" outlineLevel="1" x14ac:dyDescent="0.3">
      <c r="A216" s="11"/>
      <c r="B216" s="11"/>
      <c r="C216" s="11"/>
      <c r="D216" s="1"/>
      <c r="E216" s="1"/>
      <c r="F216" s="1"/>
      <c r="G216" s="1"/>
      <c r="H216" s="1"/>
      <c r="I216" s="1"/>
      <c r="J216" s="1"/>
      <c r="K216" s="1"/>
      <c r="L216" s="1"/>
      <c r="M216" s="1"/>
      <c r="N216" s="1"/>
      <c r="O216" s="1"/>
      <c r="Q216" s="8">
        <f t="shared" si="33"/>
        <v>0</v>
      </c>
      <c r="S216" s="8">
        <f t="shared" si="34"/>
        <v>0</v>
      </c>
      <c r="T216" s="8">
        <f t="shared" si="35"/>
        <v>0</v>
      </c>
      <c r="U216" s="8">
        <f t="shared" si="36"/>
        <v>0</v>
      </c>
      <c r="V216" s="8">
        <f t="shared" si="37"/>
        <v>0</v>
      </c>
      <c r="W216" s="8">
        <f t="shared" si="38"/>
        <v>0</v>
      </c>
    </row>
    <row r="217" spans="1:23" outlineLevel="1" x14ac:dyDescent="0.3">
      <c r="A217" s="11"/>
      <c r="B217" s="11"/>
      <c r="C217" s="11"/>
      <c r="D217" s="1"/>
      <c r="E217" s="1"/>
      <c r="F217" s="1"/>
      <c r="G217" s="1"/>
      <c r="H217" s="1"/>
      <c r="I217" s="1"/>
      <c r="J217" s="1"/>
      <c r="K217" s="1"/>
      <c r="L217" s="1"/>
      <c r="M217" s="1"/>
      <c r="N217" s="1"/>
      <c r="O217" s="1"/>
      <c r="Q217" s="8">
        <f t="shared" si="33"/>
        <v>0</v>
      </c>
      <c r="S217" s="8">
        <f t="shared" si="34"/>
        <v>0</v>
      </c>
      <c r="T217" s="8">
        <f t="shared" si="35"/>
        <v>0</v>
      </c>
      <c r="U217" s="8">
        <f t="shared" si="36"/>
        <v>0</v>
      </c>
      <c r="V217" s="8">
        <f t="shared" si="37"/>
        <v>0</v>
      </c>
      <c r="W217" s="8">
        <f t="shared" si="38"/>
        <v>0</v>
      </c>
    </row>
    <row r="218" spans="1:23" outlineLevel="1" x14ac:dyDescent="0.3">
      <c r="A218" s="11"/>
      <c r="B218" s="11"/>
      <c r="C218" s="11"/>
      <c r="D218" s="11"/>
      <c r="E218" s="11"/>
      <c r="F218" s="11"/>
      <c r="G218" s="11"/>
      <c r="H218" s="11"/>
      <c r="I218" s="11"/>
      <c r="J218" s="11"/>
      <c r="K218" s="11"/>
      <c r="L218" s="11"/>
      <c r="M218" s="11"/>
      <c r="N218" s="11"/>
      <c r="O218" s="11"/>
      <c r="Q218" s="8">
        <f t="shared" si="33"/>
        <v>0</v>
      </c>
      <c r="S218" s="8">
        <f t="shared" si="34"/>
        <v>0</v>
      </c>
      <c r="T218" s="8">
        <f t="shared" si="35"/>
        <v>0</v>
      </c>
      <c r="U218" s="8">
        <f t="shared" si="36"/>
        <v>0</v>
      </c>
      <c r="V218" s="8">
        <f t="shared" si="37"/>
        <v>0</v>
      </c>
      <c r="W218" s="8">
        <f t="shared" si="38"/>
        <v>0</v>
      </c>
    </row>
    <row r="219" spans="1:23" outlineLevel="1" x14ac:dyDescent="0.3">
      <c r="A219" s="11"/>
      <c r="B219" s="11"/>
      <c r="C219" s="11"/>
      <c r="D219" s="1"/>
      <c r="E219" s="1"/>
      <c r="F219" s="1"/>
      <c r="G219" s="1"/>
      <c r="H219" s="1"/>
      <c r="I219" s="1"/>
      <c r="J219" s="1"/>
      <c r="K219" s="1"/>
      <c r="L219" s="1"/>
      <c r="M219" s="1"/>
      <c r="N219" s="1"/>
      <c r="O219" s="1"/>
      <c r="Q219" s="8">
        <f t="shared" si="33"/>
        <v>0</v>
      </c>
      <c r="S219" s="8">
        <f t="shared" si="34"/>
        <v>0</v>
      </c>
      <c r="T219" s="8">
        <f t="shared" si="35"/>
        <v>0</v>
      </c>
      <c r="U219" s="8">
        <f t="shared" si="36"/>
        <v>0</v>
      </c>
      <c r="V219" s="8">
        <f t="shared" si="37"/>
        <v>0</v>
      </c>
      <c r="W219" s="8">
        <f t="shared" si="38"/>
        <v>0</v>
      </c>
    </row>
    <row r="220" spans="1:23" outlineLevel="1" x14ac:dyDescent="0.3">
      <c r="A220" s="11"/>
      <c r="B220" s="11"/>
      <c r="C220" s="11"/>
      <c r="D220" s="1"/>
      <c r="E220" s="1"/>
      <c r="F220" s="1"/>
      <c r="G220" s="1"/>
      <c r="H220" s="1"/>
      <c r="I220" s="1"/>
      <c r="J220" s="1"/>
      <c r="K220" s="1"/>
      <c r="L220" s="1"/>
      <c r="M220" s="1"/>
      <c r="N220" s="1"/>
      <c r="O220" s="1"/>
      <c r="Q220" s="8">
        <f t="shared" si="33"/>
        <v>0</v>
      </c>
      <c r="S220" s="8">
        <f t="shared" si="34"/>
        <v>0</v>
      </c>
      <c r="T220" s="8">
        <f t="shared" si="35"/>
        <v>0</v>
      </c>
      <c r="U220" s="8">
        <f t="shared" si="36"/>
        <v>0</v>
      </c>
      <c r="V220" s="8">
        <f t="shared" si="37"/>
        <v>0</v>
      </c>
      <c r="W220" s="8">
        <f t="shared" si="38"/>
        <v>0</v>
      </c>
    </row>
    <row r="221" spans="1:23" outlineLevel="1" x14ac:dyDescent="0.3">
      <c r="A221" s="11"/>
      <c r="B221" s="11"/>
      <c r="C221" s="11"/>
      <c r="D221" s="1"/>
      <c r="E221" s="1"/>
      <c r="F221" s="1"/>
      <c r="G221" s="1"/>
      <c r="H221" s="1"/>
      <c r="I221" s="1"/>
      <c r="J221" s="1"/>
      <c r="K221" s="1"/>
      <c r="L221" s="1"/>
      <c r="M221" s="1"/>
      <c r="N221" s="1"/>
      <c r="O221" s="1"/>
      <c r="Q221" s="8">
        <f t="shared" si="33"/>
        <v>0</v>
      </c>
      <c r="S221" s="8">
        <f t="shared" si="34"/>
        <v>0</v>
      </c>
      <c r="T221" s="8">
        <f t="shared" si="35"/>
        <v>0</v>
      </c>
      <c r="U221" s="8">
        <f t="shared" si="36"/>
        <v>0</v>
      </c>
      <c r="V221" s="8">
        <f t="shared" si="37"/>
        <v>0</v>
      </c>
      <c r="W221" s="8">
        <f t="shared" si="38"/>
        <v>0</v>
      </c>
    </row>
    <row r="222" spans="1:23" outlineLevel="1" x14ac:dyDescent="0.3">
      <c r="A222" s="11"/>
      <c r="B222" s="11"/>
      <c r="C222" s="11"/>
      <c r="D222" s="1"/>
      <c r="E222" s="1"/>
      <c r="F222" s="1"/>
      <c r="G222" s="1"/>
      <c r="H222" s="1"/>
      <c r="I222" s="1"/>
      <c r="J222" s="1"/>
      <c r="K222" s="1"/>
      <c r="L222" s="1"/>
      <c r="M222" s="1"/>
      <c r="N222" s="1"/>
      <c r="O222" s="1"/>
      <c r="Q222" s="8">
        <f t="shared" si="33"/>
        <v>0</v>
      </c>
      <c r="S222" s="8">
        <f t="shared" si="34"/>
        <v>0</v>
      </c>
      <c r="T222" s="8">
        <f t="shared" si="35"/>
        <v>0</v>
      </c>
      <c r="U222" s="8">
        <f t="shared" si="36"/>
        <v>0</v>
      </c>
      <c r="V222" s="8">
        <f t="shared" si="37"/>
        <v>0</v>
      </c>
      <c r="W222" s="8">
        <f t="shared" si="38"/>
        <v>0</v>
      </c>
    </row>
    <row r="223" spans="1:23" outlineLevel="1" x14ac:dyDescent="0.3">
      <c r="A223" s="11"/>
      <c r="B223" s="11"/>
      <c r="C223" s="11"/>
      <c r="D223" s="1"/>
      <c r="E223" s="1"/>
      <c r="F223" s="1"/>
      <c r="G223" s="1"/>
      <c r="H223" s="1"/>
      <c r="I223" s="1"/>
      <c r="J223" s="1"/>
      <c r="K223" s="1"/>
      <c r="L223" s="1"/>
      <c r="M223" s="1"/>
      <c r="N223" s="1"/>
      <c r="O223" s="1"/>
      <c r="Q223" s="8">
        <f t="shared" si="33"/>
        <v>0</v>
      </c>
      <c r="S223" s="8">
        <f t="shared" si="34"/>
        <v>0</v>
      </c>
      <c r="T223" s="8">
        <f t="shared" si="35"/>
        <v>0</v>
      </c>
      <c r="U223" s="8">
        <f t="shared" si="36"/>
        <v>0</v>
      </c>
      <c r="V223" s="8">
        <f t="shared" si="37"/>
        <v>0</v>
      </c>
      <c r="W223" s="8">
        <f t="shared" si="38"/>
        <v>0</v>
      </c>
    </row>
    <row r="224" spans="1:23" outlineLevel="1" x14ac:dyDescent="0.3">
      <c r="A224" s="11"/>
      <c r="B224" s="11"/>
      <c r="C224" s="11"/>
      <c r="D224" s="1"/>
      <c r="E224" s="1"/>
      <c r="F224" s="1"/>
      <c r="G224" s="1"/>
      <c r="H224" s="1"/>
      <c r="I224" s="1"/>
      <c r="J224" s="1"/>
      <c r="K224" s="1"/>
      <c r="L224" s="1"/>
      <c r="M224" s="1"/>
      <c r="N224" s="1"/>
      <c r="O224" s="1"/>
      <c r="Q224" s="8">
        <f t="shared" si="33"/>
        <v>0</v>
      </c>
      <c r="S224" s="8">
        <f t="shared" si="34"/>
        <v>0</v>
      </c>
      <c r="T224" s="8">
        <f t="shared" si="35"/>
        <v>0</v>
      </c>
      <c r="U224" s="8">
        <f t="shared" si="36"/>
        <v>0</v>
      </c>
      <c r="V224" s="8">
        <f t="shared" si="37"/>
        <v>0</v>
      </c>
      <c r="W224" s="8">
        <f t="shared" si="38"/>
        <v>0</v>
      </c>
    </row>
    <row r="225" spans="1:23" outlineLevel="1" x14ac:dyDescent="0.3">
      <c r="A225" s="11"/>
      <c r="B225" s="11"/>
      <c r="C225" s="11"/>
      <c r="D225" s="1"/>
      <c r="E225" s="1"/>
      <c r="F225" s="1"/>
      <c r="G225" s="1"/>
      <c r="H225" s="1"/>
      <c r="I225" s="1"/>
      <c r="J225" s="1"/>
      <c r="K225" s="1"/>
      <c r="L225" s="1"/>
      <c r="M225" s="1"/>
      <c r="N225" s="1"/>
      <c r="O225" s="1"/>
      <c r="Q225" s="8">
        <f t="shared" si="33"/>
        <v>0</v>
      </c>
      <c r="S225" s="8">
        <f t="shared" si="34"/>
        <v>0</v>
      </c>
      <c r="T225" s="8">
        <f t="shared" si="35"/>
        <v>0</v>
      </c>
      <c r="U225" s="8">
        <f t="shared" si="36"/>
        <v>0</v>
      </c>
      <c r="V225" s="8">
        <f t="shared" si="37"/>
        <v>0</v>
      </c>
      <c r="W225" s="8">
        <f t="shared" si="38"/>
        <v>0</v>
      </c>
    </row>
    <row r="226" spans="1:23" outlineLevel="1" x14ac:dyDescent="0.3">
      <c r="A226" s="11"/>
      <c r="B226" s="11"/>
      <c r="C226" s="11"/>
      <c r="D226" s="1"/>
      <c r="E226" s="1"/>
      <c r="F226" s="1"/>
      <c r="G226" s="1"/>
      <c r="H226" s="1"/>
      <c r="I226" s="1"/>
      <c r="J226" s="1"/>
      <c r="K226" s="1"/>
      <c r="L226" s="1"/>
      <c r="M226" s="1"/>
      <c r="N226" s="1"/>
      <c r="O226" s="1"/>
      <c r="Q226" s="8">
        <f t="shared" si="33"/>
        <v>0</v>
      </c>
      <c r="S226" s="8">
        <f t="shared" si="34"/>
        <v>0</v>
      </c>
      <c r="T226" s="8">
        <f t="shared" si="35"/>
        <v>0</v>
      </c>
      <c r="U226" s="8">
        <f t="shared" si="36"/>
        <v>0</v>
      </c>
      <c r="V226" s="8">
        <f t="shared" si="37"/>
        <v>0</v>
      </c>
      <c r="W226" s="8">
        <f t="shared" si="38"/>
        <v>0</v>
      </c>
    </row>
    <row r="227" spans="1:23" outlineLevel="1" x14ac:dyDescent="0.3">
      <c r="A227" s="11"/>
      <c r="B227" s="11"/>
      <c r="C227" s="11"/>
      <c r="D227" s="1"/>
      <c r="E227" s="1"/>
      <c r="F227" s="1"/>
      <c r="G227" s="1"/>
      <c r="H227" s="1"/>
      <c r="I227" s="1"/>
      <c r="J227" s="1"/>
      <c r="K227" s="1"/>
      <c r="L227" s="1"/>
      <c r="M227" s="1"/>
      <c r="N227" s="1"/>
      <c r="O227" s="1"/>
      <c r="Q227" s="8">
        <f t="shared" si="33"/>
        <v>0</v>
      </c>
      <c r="S227" s="8">
        <f t="shared" si="34"/>
        <v>0</v>
      </c>
      <c r="T227" s="8">
        <f t="shared" si="35"/>
        <v>0</v>
      </c>
      <c r="U227" s="8">
        <f t="shared" si="36"/>
        <v>0</v>
      </c>
      <c r="V227" s="8">
        <f t="shared" si="37"/>
        <v>0</v>
      </c>
      <c r="W227" s="8">
        <f t="shared" si="38"/>
        <v>0</v>
      </c>
    </row>
    <row r="228" spans="1:23" outlineLevel="1" x14ac:dyDescent="0.3">
      <c r="A228" s="11"/>
      <c r="B228" s="11"/>
      <c r="C228" s="11"/>
      <c r="D228" s="1"/>
      <c r="E228" s="1"/>
      <c r="F228" s="1"/>
      <c r="G228" s="1"/>
      <c r="H228" s="1"/>
      <c r="I228" s="1"/>
      <c r="J228" s="1"/>
      <c r="K228" s="1"/>
      <c r="L228" s="1"/>
      <c r="M228" s="1"/>
      <c r="N228" s="1"/>
      <c r="O228" s="1"/>
      <c r="Q228" s="8">
        <f t="shared" si="33"/>
        <v>0</v>
      </c>
      <c r="S228" s="8">
        <f t="shared" si="34"/>
        <v>0</v>
      </c>
      <c r="T228" s="8">
        <f t="shared" si="35"/>
        <v>0</v>
      </c>
      <c r="U228" s="8">
        <f t="shared" si="36"/>
        <v>0</v>
      </c>
      <c r="V228" s="8">
        <f t="shared" si="37"/>
        <v>0</v>
      </c>
      <c r="W228" s="8">
        <f t="shared" si="38"/>
        <v>0</v>
      </c>
    </row>
    <row r="229" spans="1:23" outlineLevel="1" x14ac:dyDescent="0.3">
      <c r="A229" s="11"/>
      <c r="B229" s="11"/>
      <c r="C229" s="11"/>
      <c r="D229" s="1"/>
      <c r="E229" s="1"/>
      <c r="F229" s="1"/>
      <c r="G229" s="1"/>
      <c r="H229" s="1"/>
      <c r="I229" s="1"/>
      <c r="J229" s="1"/>
      <c r="K229" s="1"/>
      <c r="L229" s="1"/>
      <c r="M229" s="1"/>
      <c r="N229" s="1"/>
      <c r="O229" s="1"/>
      <c r="Q229" s="8">
        <f t="shared" si="33"/>
        <v>0</v>
      </c>
      <c r="S229" s="8">
        <f t="shared" si="34"/>
        <v>0</v>
      </c>
      <c r="T229" s="8">
        <f t="shared" si="35"/>
        <v>0</v>
      </c>
      <c r="U229" s="8">
        <f t="shared" si="36"/>
        <v>0</v>
      </c>
      <c r="V229" s="8">
        <f t="shared" si="37"/>
        <v>0</v>
      </c>
      <c r="W229" s="8">
        <f t="shared" si="38"/>
        <v>0</v>
      </c>
    </row>
    <row r="230" spans="1:23" outlineLevel="1" x14ac:dyDescent="0.3">
      <c r="A230" s="11"/>
      <c r="B230" s="11"/>
      <c r="C230" s="11"/>
      <c r="D230" s="1"/>
      <c r="E230" s="1"/>
      <c r="F230" s="1"/>
      <c r="G230" s="1"/>
      <c r="H230" s="1"/>
      <c r="I230" s="1"/>
      <c r="J230" s="1"/>
      <c r="K230" s="1"/>
      <c r="L230" s="1"/>
      <c r="M230" s="1"/>
      <c r="N230" s="1"/>
      <c r="O230" s="1"/>
      <c r="Q230" s="8">
        <f t="shared" si="33"/>
        <v>0</v>
      </c>
      <c r="S230" s="8">
        <f t="shared" si="34"/>
        <v>0</v>
      </c>
      <c r="T230" s="8">
        <f t="shared" si="35"/>
        <v>0</v>
      </c>
      <c r="U230" s="8">
        <f t="shared" si="36"/>
        <v>0</v>
      </c>
      <c r="V230" s="8">
        <f t="shared" si="37"/>
        <v>0</v>
      </c>
      <c r="W230" s="8">
        <f t="shared" si="38"/>
        <v>0</v>
      </c>
    </row>
    <row r="231" spans="1:23" outlineLevel="1" x14ac:dyDescent="0.3">
      <c r="A231" s="11"/>
      <c r="B231" s="11"/>
      <c r="C231" s="11"/>
      <c r="D231" s="1"/>
      <c r="E231" s="1"/>
      <c r="F231" s="1"/>
      <c r="G231" s="1"/>
      <c r="H231" s="1"/>
      <c r="I231" s="1"/>
      <c r="J231" s="1"/>
      <c r="K231" s="1"/>
      <c r="L231" s="1"/>
      <c r="M231" s="1"/>
      <c r="N231" s="1"/>
      <c r="O231" s="1"/>
      <c r="Q231" s="8">
        <f t="shared" si="33"/>
        <v>0</v>
      </c>
      <c r="S231" s="8">
        <f t="shared" si="34"/>
        <v>0</v>
      </c>
      <c r="T231" s="8">
        <f t="shared" si="35"/>
        <v>0</v>
      </c>
      <c r="U231" s="8">
        <f t="shared" si="36"/>
        <v>0</v>
      </c>
      <c r="V231" s="8">
        <f t="shared" si="37"/>
        <v>0</v>
      </c>
      <c r="W231" s="8">
        <f t="shared" si="38"/>
        <v>0</v>
      </c>
    </row>
    <row r="232" spans="1:23" outlineLevel="1" x14ac:dyDescent="0.3">
      <c r="A232" s="11"/>
      <c r="B232" s="11"/>
      <c r="C232" s="11"/>
      <c r="D232" s="1"/>
      <c r="E232" s="1"/>
      <c r="F232" s="1"/>
      <c r="G232" s="1"/>
      <c r="H232" s="1"/>
      <c r="I232" s="1"/>
      <c r="J232" s="1"/>
      <c r="K232" s="1"/>
      <c r="L232" s="1"/>
      <c r="M232" s="1"/>
      <c r="N232" s="1"/>
      <c r="O232" s="1"/>
      <c r="Q232" s="8">
        <f t="shared" si="33"/>
        <v>0</v>
      </c>
      <c r="S232" s="8">
        <f t="shared" si="34"/>
        <v>0</v>
      </c>
      <c r="T232" s="8">
        <f t="shared" si="35"/>
        <v>0</v>
      </c>
      <c r="U232" s="8">
        <f t="shared" si="36"/>
        <v>0</v>
      </c>
      <c r="V232" s="8">
        <f t="shared" si="37"/>
        <v>0</v>
      </c>
      <c r="W232" s="8">
        <f t="shared" si="38"/>
        <v>0</v>
      </c>
    </row>
    <row r="233" spans="1:23" outlineLevel="1" x14ac:dyDescent="0.3">
      <c r="A233" s="11"/>
      <c r="B233" s="11"/>
      <c r="C233" s="11"/>
      <c r="D233" s="1"/>
      <c r="E233" s="1"/>
      <c r="F233" s="1"/>
      <c r="G233" s="1"/>
      <c r="H233" s="1"/>
      <c r="I233" s="1"/>
      <c r="J233" s="1"/>
      <c r="K233" s="1"/>
      <c r="L233" s="1"/>
      <c r="M233" s="1"/>
      <c r="N233" s="1"/>
      <c r="O233" s="1"/>
      <c r="Q233" s="8">
        <f t="shared" ref="Q233:Q296" si="39">IFERROR(SUM(D233:O233),"")</f>
        <v>0</v>
      </c>
      <c r="S233" s="8">
        <f t="shared" si="34"/>
        <v>0</v>
      </c>
      <c r="T233" s="8">
        <f t="shared" si="35"/>
        <v>0</v>
      </c>
      <c r="U233" s="8">
        <f t="shared" si="36"/>
        <v>0</v>
      </c>
      <c r="V233" s="8">
        <f t="shared" si="37"/>
        <v>0</v>
      </c>
      <c r="W233" s="8">
        <f t="shared" si="38"/>
        <v>0</v>
      </c>
    </row>
    <row r="234" spans="1:23" outlineLevel="1" x14ac:dyDescent="0.3">
      <c r="A234" s="11"/>
      <c r="B234" s="11"/>
      <c r="C234" s="11"/>
      <c r="D234" s="1"/>
      <c r="E234" s="1"/>
      <c r="F234" s="1"/>
      <c r="G234" s="1"/>
      <c r="H234" s="1"/>
      <c r="I234" s="1"/>
      <c r="J234" s="1"/>
      <c r="K234" s="1"/>
      <c r="L234" s="1"/>
      <c r="M234" s="1"/>
      <c r="N234" s="1"/>
      <c r="O234" s="1"/>
      <c r="Q234" s="8">
        <f t="shared" si="39"/>
        <v>0</v>
      </c>
      <c r="S234" s="8">
        <f t="shared" ref="S234:S297" si="40">+SUM(O234)*12</f>
        <v>0</v>
      </c>
      <c r="T234" s="8">
        <f t="shared" ref="T234:T297" si="41">+SUM(M234:O234)*4</f>
        <v>0</v>
      </c>
      <c r="U234" s="8">
        <f t="shared" ref="U234:U297" si="42">+SUM(J234:O234)*2</f>
        <v>0</v>
      </c>
      <c r="V234" s="8">
        <f t="shared" ref="V234:V297" si="43">+SUM(G234:O234)/9*12</f>
        <v>0</v>
      </c>
      <c r="W234" s="8">
        <f t="shared" ref="W234:W297" si="44">+SUM(D234:O234)</f>
        <v>0</v>
      </c>
    </row>
    <row r="235" spans="1:23" outlineLevel="1" x14ac:dyDescent="0.3">
      <c r="A235" s="11"/>
      <c r="B235" s="11"/>
      <c r="C235" s="11"/>
      <c r="D235" s="1"/>
      <c r="E235" s="1"/>
      <c r="F235" s="1"/>
      <c r="G235" s="1"/>
      <c r="H235" s="1"/>
      <c r="I235" s="1"/>
      <c r="J235" s="1"/>
      <c r="K235" s="1"/>
      <c r="L235" s="1"/>
      <c r="M235" s="1"/>
      <c r="N235" s="1"/>
      <c r="O235" s="1"/>
      <c r="Q235" s="8">
        <f t="shared" si="39"/>
        <v>0</v>
      </c>
      <c r="S235" s="8">
        <f t="shared" si="40"/>
        <v>0</v>
      </c>
      <c r="T235" s="8">
        <f t="shared" si="41"/>
        <v>0</v>
      </c>
      <c r="U235" s="8">
        <f t="shared" si="42"/>
        <v>0</v>
      </c>
      <c r="V235" s="8">
        <f t="shared" si="43"/>
        <v>0</v>
      </c>
      <c r="W235" s="8">
        <f t="shared" si="44"/>
        <v>0</v>
      </c>
    </row>
    <row r="236" spans="1:23" outlineLevel="1" x14ac:dyDescent="0.3">
      <c r="A236" s="11"/>
      <c r="B236" s="11"/>
      <c r="C236" s="11"/>
      <c r="D236" s="1"/>
      <c r="E236" s="1"/>
      <c r="F236" s="1"/>
      <c r="G236" s="1"/>
      <c r="H236" s="1"/>
      <c r="I236" s="1"/>
      <c r="J236" s="1"/>
      <c r="K236" s="1"/>
      <c r="L236" s="1"/>
      <c r="M236" s="1"/>
      <c r="N236" s="1"/>
      <c r="O236" s="1"/>
      <c r="Q236" s="8">
        <f t="shared" si="39"/>
        <v>0</v>
      </c>
      <c r="S236" s="8">
        <f t="shared" si="40"/>
        <v>0</v>
      </c>
      <c r="T236" s="8">
        <f t="shared" si="41"/>
        <v>0</v>
      </c>
      <c r="U236" s="8">
        <f t="shared" si="42"/>
        <v>0</v>
      </c>
      <c r="V236" s="8">
        <f t="shared" si="43"/>
        <v>0</v>
      </c>
      <c r="W236" s="8">
        <f t="shared" si="44"/>
        <v>0</v>
      </c>
    </row>
    <row r="237" spans="1:23" outlineLevel="1" x14ac:dyDescent="0.3">
      <c r="A237" s="11"/>
      <c r="B237" s="11"/>
      <c r="C237" s="11"/>
      <c r="D237" s="1"/>
      <c r="E237" s="1"/>
      <c r="F237" s="1"/>
      <c r="G237" s="1"/>
      <c r="H237" s="1"/>
      <c r="I237" s="1"/>
      <c r="J237" s="1"/>
      <c r="K237" s="1"/>
      <c r="L237" s="1"/>
      <c r="M237" s="1"/>
      <c r="N237" s="1"/>
      <c r="O237" s="1"/>
      <c r="Q237" s="8">
        <f t="shared" si="39"/>
        <v>0</v>
      </c>
      <c r="S237" s="8">
        <f t="shared" si="40"/>
        <v>0</v>
      </c>
      <c r="T237" s="8">
        <f t="shared" si="41"/>
        <v>0</v>
      </c>
      <c r="U237" s="8">
        <f t="shared" si="42"/>
        <v>0</v>
      </c>
      <c r="V237" s="8">
        <f t="shared" si="43"/>
        <v>0</v>
      </c>
      <c r="W237" s="8">
        <f t="shared" si="44"/>
        <v>0</v>
      </c>
    </row>
    <row r="238" spans="1:23" outlineLevel="1" x14ac:dyDescent="0.3">
      <c r="A238" s="11"/>
      <c r="B238" s="11"/>
      <c r="C238" s="11"/>
      <c r="D238" s="1"/>
      <c r="E238" s="1"/>
      <c r="F238" s="1"/>
      <c r="G238" s="1"/>
      <c r="H238" s="1"/>
      <c r="I238" s="1"/>
      <c r="J238" s="1"/>
      <c r="K238" s="1"/>
      <c r="L238" s="1"/>
      <c r="M238" s="1"/>
      <c r="N238" s="1"/>
      <c r="O238" s="1"/>
      <c r="Q238" s="8">
        <f t="shared" si="39"/>
        <v>0</v>
      </c>
      <c r="S238" s="8">
        <f t="shared" si="40"/>
        <v>0</v>
      </c>
      <c r="T238" s="8">
        <f t="shared" si="41"/>
        <v>0</v>
      </c>
      <c r="U238" s="8">
        <f t="shared" si="42"/>
        <v>0</v>
      </c>
      <c r="V238" s="8">
        <f t="shared" si="43"/>
        <v>0</v>
      </c>
      <c r="W238" s="8">
        <f t="shared" si="44"/>
        <v>0</v>
      </c>
    </row>
    <row r="239" spans="1:23" outlineLevel="1" x14ac:dyDescent="0.3">
      <c r="A239" s="11"/>
      <c r="B239" s="11"/>
      <c r="C239" s="11"/>
      <c r="D239" s="1"/>
      <c r="E239" s="1"/>
      <c r="F239" s="1"/>
      <c r="G239" s="1"/>
      <c r="H239" s="1"/>
      <c r="I239" s="1"/>
      <c r="J239" s="1"/>
      <c r="K239" s="1"/>
      <c r="L239" s="1"/>
      <c r="M239" s="1"/>
      <c r="N239" s="1"/>
      <c r="O239" s="1"/>
      <c r="Q239" s="8">
        <f t="shared" si="39"/>
        <v>0</v>
      </c>
      <c r="S239" s="8">
        <f t="shared" si="40"/>
        <v>0</v>
      </c>
      <c r="T239" s="8">
        <f t="shared" si="41"/>
        <v>0</v>
      </c>
      <c r="U239" s="8">
        <f t="shared" si="42"/>
        <v>0</v>
      </c>
      <c r="V239" s="8">
        <f t="shared" si="43"/>
        <v>0</v>
      </c>
      <c r="W239" s="8">
        <f t="shared" si="44"/>
        <v>0</v>
      </c>
    </row>
    <row r="240" spans="1:23" outlineLevel="1" x14ac:dyDescent="0.3">
      <c r="A240" s="11"/>
      <c r="B240" s="11"/>
      <c r="C240" s="11"/>
      <c r="D240" s="1"/>
      <c r="E240" s="1"/>
      <c r="F240" s="1"/>
      <c r="G240" s="1"/>
      <c r="H240" s="1"/>
      <c r="I240" s="1"/>
      <c r="J240" s="1"/>
      <c r="K240" s="1"/>
      <c r="L240" s="1"/>
      <c r="M240" s="1"/>
      <c r="N240" s="1"/>
      <c r="O240" s="1"/>
      <c r="Q240" s="8">
        <f t="shared" si="39"/>
        <v>0</v>
      </c>
      <c r="S240" s="8">
        <f t="shared" si="40"/>
        <v>0</v>
      </c>
      <c r="T240" s="8">
        <f t="shared" si="41"/>
        <v>0</v>
      </c>
      <c r="U240" s="8">
        <f t="shared" si="42"/>
        <v>0</v>
      </c>
      <c r="V240" s="8">
        <f t="shared" si="43"/>
        <v>0</v>
      </c>
      <c r="W240" s="8">
        <f t="shared" si="44"/>
        <v>0</v>
      </c>
    </row>
    <row r="241" spans="1:23" outlineLevel="1" x14ac:dyDescent="0.3">
      <c r="A241" s="11"/>
      <c r="B241" s="11"/>
      <c r="C241" s="11"/>
      <c r="D241" s="1"/>
      <c r="E241" s="1"/>
      <c r="F241" s="1"/>
      <c r="G241" s="1"/>
      <c r="H241" s="1"/>
      <c r="I241" s="1"/>
      <c r="J241" s="1"/>
      <c r="K241" s="1"/>
      <c r="L241" s="1"/>
      <c r="M241" s="1"/>
      <c r="N241" s="1"/>
      <c r="O241" s="1"/>
      <c r="Q241" s="8">
        <f t="shared" si="39"/>
        <v>0</v>
      </c>
      <c r="S241" s="8">
        <f t="shared" si="40"/>
        <v>0</v>
      </c>
      <c r="T241" s="8">
        <f t="shared" si="41"/>
        <v>0</v>
      </c>
      <c r="U241" s="8">
        <f t="shared" si="42"/>
        <v>0</v>
      </c>
      <c r="V241" s="8">
        <f t="shared" si="43"/>
        <v>0</v>
      </c>
      <c r="W241" s="8">
        <f t="shared" si="44"/>
        <v>0</v>
      </c>
    </row>
    <row r="242" spans="1:23" outlineLevel="1" x14ac:dyDescent="0.3">
      <c r="A242" s="11"/>
      <c r="B242" s="11"/>
      <c r="C242" s="11"/>
      <c r="D242" s="1"/>
      <c r="E242" s="1"/>
      <c r="F242" s="1"/>
      <c r="G242" s="1"/>
      <c r="H242" s="1"/>
      <c r="I242" s="1"/>
      <c r="J242" s="1"/>
      <c r="K242" s="1"/>
      <c r="L242" s="1"/>
      <c r="M242" s="1"/>
      <c r="N242" s="1"/>
      <c r="O242" s="1"/>
      <c r="Q242" s="8">
        <f t="shared" si="39"/>
        <v>0</v>
      </c>
      <c r="S242" s="8">
        <f t="shared" si="40"/>
        <v>0</v>
      </c>
      <c r="T242" s="8">
        <f t="shared" si="41"/>
        <v>0</v>
      </c>
      <c r="U242" s="8">
        <f t="shared" si="42"/>
        <v>0</v>
      </c>
      <c r="V242" s="8">
        <f t="shared" si="43"/>
        <v>0</v>
      </c>
      <c r="W242" s="8">
        <f t="shared" si="44"/>
        <v>0</v>
      </c>
    </row>
    <row r="243" spans="1:23" outlineLevel="1" x14ac:dyDescent="0.3">
      <c r="A243" s="11"/>
      <c r="B243" s="11"/>
      <c r="C243" s="11"/>
      <c r="D243" s="1"/>
      <c r="E243" s="1"/>
      <c r="F243" s="1"/>
      <c r="G243" s="1"/>
      <c r="H243" s="1"/>
      <c r="I243" s="1"/>
      <c r="J243" s="1"/>
      <c r="K243" s="1"/>
      <c r="L243" s="1"/>
      <c r="M243" s="1"/>
      <c r="N243" s="1"/>
      <c r="O243" s="1"/>
      <c r="Q243" s="8">
        <f t="shared" si="39"/>
        <v>0</v>
      </c>
      <c r="S243" s="8">
        <f t="shared" si="40"/>
        <v>0</v>
      </c>
      <c r="T243" s="8">
        <f t="shared" si="41"/>
        <v>0</v>
      </c>
      <c r="U243" s="8">
        <f t="shared" si="42"/>
        <v>0</v>
      </c>
      <c r="V243" s="8">
        <f t="shared" si="43"/>
        <v>0</v>
      </c>
      <c r="W243" s="8">
        <f t="shared" si="44"/>
        <v>0</v>
      </c>
    </row>
    <row r="244" spans="1:23" outlineLevel="1" x14ac:dyDescent="0.3">
      <c r="A244" s="11"/>
      <c r="B244" s="11"/>
      <c r="C244" s="11"/>
      <c r="D244" s="1"/>
      <c r="E244" s="1"/>
      <c r="F244" s="1"/>
      <c r="G244" s="1"/>
      <c r="H244" s="1"/>
      <c r="I244" s="1"/>
      <c r="J244" s="1"/>
      <c r="K244" s="1"/>
      <c r="L244" s="1"/>
      <c r="M244" s="1"/>
      <c r="N244" s="1"/>
      <c r="O244" s="1"/>
      <c r="Q244" s="8">
        <f t="shared" si="39"/>
        <v>0</v>
      </c>
      <c r="S244" s="8">
        <f t="shared" si="40"/>
        <v>0</v>
      </c>
      <c r="T244" s="8">
        <f t="shared" si="41"/>
        <v>0</v>
      </c>
      <c r="U244" s="8">
        <f t="shared" si="42"/>
        <v>0</v>
      </c>
      <c r="V244" s="8">
        <f t="shared" si="43"/>
        <v>0</v>
      </c>
      <c r="W244" s="8">
        <f t="shared" si="44"/>
        <v>0</v>
      </c>
    </row>
    <row r="245" spans="1:23" outlineLevel="1" x14ac:dyDescent="0.3">
      <c r="A245" s="11"/>
      <c r="B245" s="11"/>
      <c r="C245" s="11"/>
      <c r="D245" s="1"/>
      <c r="E245" s="1"/>
      <c r="F245" s="1"/>
      <c r="G245" s="1"/>
      <c r="H245" s="1"/>
      <c r="I245" s="1"/>
      <c r="J245" s="1"/>
      <c r="K245" s="1"/>
      <c r="L245" s="1"/>
      <c r="M245" s="1"/>
      <c r="N245" s="1"/>
      <c r="O245" s="1"/>
      <c r="Q245" s="8">
        <f t="shared" si="39"/>
        <v>0</v>
      </c>
      <c r="S245" s="8">
        <f t="shared" si="40"/>
        <v>0</v>
      </c>
      <c r="T245" s="8">
        <f t="shared" si="41"/>
        <v>0</v>
      </c>
      <c r="U245" s="8">
        <f t="shared" si="42"/>
        <v>0</v>
      </c>
      <c r="V245" s="8">
        <f t="shared" si="43"/>
        <v>0</v>
      </c>
      <c r="W245" s="8">
        <f t="shared" si="44"/>
        <v>0</v>
      </c>
    </row>
    <row r="246" spans="1:23" outlineLevel="1" x14ac:dyDescent="0.3">
      <c r="A246" s="11"/>
      <c r="B246" s="11"/>
      <c r="C246" s="11"/>
      <c r="D246" s="1"/>
      <c r="E246" s="1"/>
      <c r="F246" s="1"/>
      <c r="G246" s="1"/>
      <c r="H246" s="1"/>
      <c r="I246" s="1"/>
      <c r="J246" s="1"/>
      <c r="K246" s="1"/>
      <c r="L246" s="1"/>
      <c r="M246" s="1"/>
      <c r="N246" s="1"/>
      <c r="O246" s="1"/>
      <c r="Q246" s="8">
        <f t="shared" si="39"/>
        <v>0</v>
      </c>
      <c r="S246" s="8">
        <f t="shared" si="40"/>
        <v>0</v>
      </c>
      <c r="T246" s="8">
        <f t="shared" si="41"/>
        <v>0</v>
      </c>
      <c r="U246" s="8">
        <f t="shared" si="42"/>
        <v>0</v>
      </c>
      <c r="V246" s="8">
        <f t="shared" si="43"/>
        <v>0</v>
      </c>
      <c r="W246" s="8">
        <f t="shared" si="44"/>
        <v>0</v>
      </c>
    </row>
    <row r="247" spans="1:23" outlineLevel="1" x14ac:dyDescent="0.3">
      <c r="A247" s="11"/>
      <c r="B247" s="11"/>
      <c r="C247" s="11"/>
      <c r="D247" s="1"/>
      <c r="E247" s="1"/>
      <c r="F247" s="1"/>
      <c r="G247" s="1"/>
      <c r="H247" s="1"/>
      <c r="I247" s="1"/>
      <c r="J247" s="1"/>
      <c r="K247" s="1"/>
      <c r="L247" s="1"/>
      <c r="M247" s="1"/>
      <c r="N247" s="1"/>
      <c r="O247" s="1"/>
      <c r="Q247" s="8">
        <f t="shared" si="39"/>
        <v>0</v>
      </c>
      <c r="S247" s="8">
        <f t="shared" si="40"/>
        <v>0</v>
      </c>
      <c r="T247" s="8">
        <f t="shared" si="41"/>
        <v>0</v>
      </c>
      <c r="U247" s="8">
        <f t="shared" si="42"/>
        <v>0</v>
      </c>
      <c r="V247" s="8">
        <f t="shared" si="43"/>
        <v>0</v>
      </c>
      <c r="W247" s="8">
        <f t="shared" si="44"/>
        <v>0</v>
      </c>
    </row>
    <row r="248" spans="1:23" outlineLevel="1" x14ac:dyDescent="0.3">
      <c r="A248" s="11"/>
      <c r="B248" s="11"/>
      <c r="C248" s="11"/>
      <c r="D248" s="1"/>
      <c r="E248" s="1"/>
      <c r="F248" s="1"/>
      <c r="G248" s="1"/>
      <c r="H248" s="1"/>
      <c r="I248" s="1"/>
      <c r="J248" s="1"/>
      <c r="K248" s="1"/>
      <c r="L248" s="1"/>
      <c r="M248" s="1"/>
      <c r="N248" s="1"/>
      <c r="O248" s="1"/>
      <c r="Q248" s="8">
        <f t="shared" si="39"/>
        <v>0</v>
      </c>
      <c r="S248" s="8">
        <f t="shared" si="40"/>
        <v>0</v>
      </c>
      <c r="T248" s="8">
        <f t="shared" si="41"/>
        <v>0</v>
      </c>
      <c r="U248" s="8">
        <f t="shared" si="42"/>
        <v>0</v>
      </c>
      <c r="V248" s="8">
        <f t="shared" si="43"/>
        <v>0</v>
      </c>
      <c r="W248" s="8">
        <f t="shared" si="44"/>
        <v>0</v>
      </c>
    </row>
    <row r="249" spans="1:23" outlineLevel="1" x14ac:dyDescent="0.3">
      <c r="A249" s="11"/>
      <c r="B249" s="11"/>
      <c r="C249" s="11"/>
      <c r="D249" s="1"/>
      <c r="E249" s="1"/>
      <c r="F249" s="1"/>
      <c r="G249" s="1"/>
      <c r="H249" s="1"/>
      <c r="I249" s="1"/>
      <c r="J249" s="1"/>
      <c r="K249" s="1"/>
      <c r="L249" s="1"/>
      <c r="M249" s="1"/>
      <c r="N249" s="1"/>
      <c r="O249" s="1"/>
      <c r="Q249" s="8">
        <f t="shared" si="39"/>
        <v>0</v>
      </c>
      <c r="S249" s="8">
        <f t="shared" si="40"/>
        <v>0</v>
      </c>
      <c r="T249" s="8">
        <f t="shared" si="41"/>
        <v>0</v>
      </c>
      <c r="U249" s="8">
        <f t="shared" si="42"/>
        <v>0</v>
      </c>
      <c r="V249" s="8">
        <f t="shared" si="43"/>
        <v>0</v>
      </c>
      <c r="W249" s="8">
        <f t="shared" si="44"/>
        <v>0</v>
      </c>
    </row>
    <row r="250" spans="1:23" outlineLevel="1" x14ac:dyDescent="0.3">
      <c r="A250" s="11"/>
      <c r="B250" s="11"/>
      <c r="C250" s="11"/>
      <c r="D250" s="1"/>
      <c r="E250" s="1"/>
      <c r="F250" s="1"/>
      <c r="G250" s="1"/>
      <c r="H250" s="1"/>
      <c r="I250" s="1"/>
      <c r="J250" s="1"/>
      <c r="K250" s="1"/>
      <c r="L250" s="1"/>
      <c r="M250" s="1"/>
      <c r="N250" s="1"/>
      <c r="O250" s="1"/>
      <c r="Q250" s="8">
        <f t="shared" si="39"/>
        <v>0</v>
      </c>
      <c r="S250" s="8">
        <f t="shared" si="40"/>
        <v>0</v>
      </c>
      <c r="T250" s="8">
        <f t="shared" si="41"/>
        <v>0</v>
      </c>
      <c r="U250" s="8">
        <f t="shared" si="42"/>
        <v>0</v>
      </c>
      <c r="V250" s="8">
        <f t="shared" si="43"/>
        <v>0</v>
      </c>
      <c r="W250" s="8">
        <f t="shared" si="44"/>
        <v>0</v>
      </c>
    </row>
    <row r="251" spans="1:23" outlineLevel="1" x14ac:dyDescent="0.3">
      <c r="A251" s="11"/>
      <c r="B251" s="11"/>
      <c r="C251" s="11"/>
      <c r="D251" s="1"/>
      <c r="E251" s="1"/>
      <c r="F251" s="1"/>
      <c r="G251" s="1"/>
      <c r="H251" s="1"/>
      <c r="I251" s="1"/>
      <c r="J251" s="1"/>
      <c r="K251" s="1"/>
      <c r="L251" s="1"/>
      <c r="M251" s="1"/>
      <c r="N251" s="1"/>
      <c r="O251" s="1"/>
      <c r="Q251" s="8">
        <f t="shared" si="39"/>
        <v>0</v>
      </c>
      <c r="S251" s="8">
        <f t="shared" si="40"/>
        <v>0</v>
      </c>
      <c r="T251" s="8">
        <f t="shared" si="41"/>
        <v>0</v>
      </c>
      <c r="U251" s="8">
        <f t="shared" si="42"/>
        <v>0</v>
      </c>
      <c r="V251" s="8">
        <f t="shared" si="43"/>
        <v>0</v>
      </c>
      <c r="W251" s="8">
        <f t="shared" si="44"/>
        <v>0</v>
      </c>
    </row>
    <row r="252" spans="1:23" outlineLevel="1" x14ac:dyDescent="0.3">
      <c r="A252" s="11"/>
      <c r="B252" s="11"/>
      <c r="C252" s="11"/>
      <c r="D252" s="1"/>
      <c r="E252" s="1"/>
      <c r="F252" s="1"/>
      <c r="G252" s="1"/>
      <c r="H252" s="1"/>
      <c r="I252" s="1"/>
      <c r="J252" s="1"/>
      <c r="K252" s="1"/>
      <c r="L252" s="1"/>
      <c r="M252" s="1"/>
      <c r="N252" s="1"/>
      <c r="O252" s="1"/>
      <c r="Q252" s="8">
        <f t="shared" si="39"/>
        <v>0</v>
      </c>
      <c r="S252" s="8">
        <f t="shared" si="40"/>
        <v>0</v>
      </c>
      <c r="T252" s="8">
        <f t="shared" si="41"/>
        <v>0</v>
      </c>
      <c r="U252" s="8">
        <f t="shared" si="42"/>
        <v>0</v>
      </c>
      <c r="V252" s="8">
        <f t="shared" si="43"/>
        <v>0</v>
      </c>
      <c r="W252" s="8">
        <f t="shared" si="44"/>
        <v>0</v>
      </c>
    </row>
    <row r="253" spans="1:23" outlineLevel="1" x14ac:dyDescent="0.3">
      <c r="A253" s="11"/>
      <c r="B253" s="11"/>
      <c r="C253" s="11"/>
      <c r="D253" s="1"/>
      <c r="E253" s="1"/>
      <c r="F253" s="1"/>
      <c r="G253" s="1"/>
      <c r="H253" s="1"/>
      <c r="I253" s="1"/>
      <c r="J253" s="1"/>
      <c r="K253" s="1"/>
      <c r="L253" s="1"/>
      <c r="M253" s="1"/>
      <c r="N253" s="1"/>
      <c r="O253" s="1"/>
      <c r="Q253" s="8">
        <f t="shared" si="39"/>
        <v>0</v>
      </c>
      <c r="S253" s="8">
        <f t="shared" si="40"/>
        <v>0</v>
      </c>
      <c r="T253" s="8">
        <f t="shared" si="41"/>
        <v>0</v>
      </c>
      <c r="U253" s="8">
        <f t="shared" si="42"/>
        <v>0</v>
      </c>
      <c r="V253" s="8">
        <f t="shared" si="43"/>
        <v>0</v>
      </c>
      <c r="W253" s="8">
        <f t="shared" si="44"/>
        <v>0</v>
      </c>
    </row>
    <row r="254" spans="1:23" outlineLevel="1" x14ac:dyDescent="0.3">
      <c r="A254" s="11"/>
      <c r="B254" s="11"/>
      <c r="C254" s="11"/>
      <c r="D254" s="1"/>
      <c r="E254" s="1"/>
      <c r="F254" s="1"/>
      <c r="G254" s="1"/>
      <c r="H254" s="1"/>
      <c r="I254" s="1"/>
      <c r="J254" s="1"/>
      <c r="K254" s="1"/>
      <c r="L254" s="1"/>
      <c r="M254" s="1"/>
      <c r="N254" s="1"/>
      <c r="O254" s="1"/>
      <c r="Q254" s="8">
        <f t="shared" si="39"/>
        <v>0</v>
      </c>
      <c r="S254" s="8">
        <f t="shared" si="40"/>
        <v>0</v>
      </c>
      <c r="T254" s="8">
        <f t="shared" si="41"/>
        <v>0</v>
      </c>
      <c r="U254" s="8">
        <f t="shared" si="42"/>
        <v>0</v>
      </c>
      <c r="V254" s="8">
        <f t="shared" si="43"/>
        <v>0</v>
      </c>
      <c r="W254" s="8">
        <f t="shared" si="44"/>
        <v>0</v>
      </c>
    </row>
    <row r="255" spans="1:23" outlineLevel="1" x14ac:dyDescent="0.3">
      <c r="A255" s="11"/>
      <c r="B255" s="11"/>
      <c r="C255" s="11"/>
      <c r="D255" s="1"/>
      <c r="E255" s="1"/>
      <c r="F255" s="1"/>
      <c r="G255" s="1"/>
      <c r="H255" s="1"/>
      <c r="I255" s="1"/>
      <c r="J255" s="1"/>
      <c r="K255" s="1"/>
      <c r="L255" s="1"/>
      <c r="M255" s="1"/>
      <c r="N255" s="1"/>
      <c r="O255" s="1"/>
      <c r="Q255" s="8">
        <f t="shared" si="39"/>
        <v>0</v>
      </c>
      <c r="S255" s="8">
        <f t="shared" si="40"/>
        <v>0</v>
      </c>
      <c r="T255" s="8">
        <f t="shared" si="41"/>
        <v>0</v>
      </c>
      <c r="U255" s="8">
        <f t="shared" si="42"/>
        <v>0</v>
      </c>
      <c r="V255" s="8">
        <f t="shared" si="43"/>
        <v>0</v>
      </c>
      <c r="W255" s="8">
        <f t="shared" si="44"/>
        <v>0</v>
      </c>
    </row>
    <row r="256" spans="1:23" outlineLevel="1" x14ac:dyDescent="0.3">
      <c r="A256" s="11"/>
      <c r="B256" s="11"/>
      <c r="C256" s="11"/>
      <c r="D256" s="1"/>
      <c r="E256" s="1"/>
      <c r="F256" s="1"/>
      <c r="G256" s="1"/>
      <c r="H256" s="1"/>
      <c r="I256" s="1"/>
      <c r="J256" s="1"/>
      <c r="K256" s="1"/>
      <c r="L256" s="1"/>
      <c r="M256" s="1"/>
      <c r="N256" s="1"/>
      <c r="O256" s="1"/>
      <c r="Q256" s="8">
        <f t="shared" si="39"/>
        <v>0</v>
      </c>
      <c r="S256" s="8">
        <f t="shared" si="40"/>
        <v>0</v>
      </c>
      <c r="T256" s="8">
        <f t="shared" si="41"/>
        <v>0</v>
      </c>
      <c r="U256" s="8">
        <f t="shared" si="42"/>
        <v>0</v>
      </c>
      <c r="V256" s="8">
        <f t="shared" si="43"/>
        <v>0</v>
      </c>
      <c r="W256" s="8">
        <f t="shared" si="44"/>
        <v>0</v>
      </c>
    </row>
    <row r="257" spans="1:23" outlineLevel="1" x14ac:dyDescent="0.3">
      <c r="A257" s="11"/>
      <c r="B257" s="11"/>
      <c r="C257" s="11"/>
      <c r="D257" s="1"/>
      <c r="E257" s="1"/>
      <c r="F257" s="1"/>
      <c r="G257" s="1"/>
      <c r="H257" s="1"/>
      <c r="I257" s="1"/>
      <c r="J257" s="1"/>
      <c r="K257" s="1"/>
      <c r="L257" s="1"/>
      <c r="M257" s="1"/>
      <c r="N257" s="1"/>
      <c r="O257" s="1"/>
      <c r="Q257" s="8">
        <f t="shared" si="39"/>
        <v>0</v>
      </c>
      <c r="S257" s="8">
        <f t="shared" si="40"/>
        <v>0</v>
      </c>
      <c r="T257" s="8">
        <f t="shared" si="41"/>
        <v>0</v>
      </c>
      <c r="U257" s="8">
        <f t="shared" si="42"/>
        <v>0</v>
      </c>
      <c r="V257" s="8">
        <f t="shared" si="43"/>
        <v>0</v>
      </c>
      <c r="W257" s="8">
        <f t="shared" si="44"/>
        <v>0</v>
      </c>
    </row>
    <row r="258" spans="1:23" outlineLevel="1" x14ac:dyDescent="0.3">
      <c r="A258" s="11"/>
      <c r="B258" s="11"/>
      <c r="C258" s="11"/>
      <c r="D258" s="1"/>
      <c r="E258" s="1"/>
      <c r="F258" s="1"/>
      <c r="G258" s="1"/>
      <c r="H258" s="1"/>
      <c r="I258" s="1"/>
      <c r="J258" s="1"/>
      <c r="K258" s="1"/>
      <c r="L258" s="1"/>
      <c r="M258" s="1"/>
      <c r="N258" s="1"/>
      <c r="O258" s="1"/>
      <c r="Q258" s="8">
        <f t="shared" si="39"/>
        <v>0</v>
      </c>
      <c r="S258" s="8">
        <f t="shared" si="40"/>
        <v>0</v>
      </c>
      <c r="T258" s="8">
        <f t="shared" si="41"/>
        <v>0</v>
      </c>
      <c r="U258" s="8">
        <f t="shared" si="42"/>
        <v>0</v>
      </c>
      <c r="V258" s="8">
        <f t="shared" si="43"/>
        <v>0</v>
      </c>
      <c r="W258" s="8">
        <f t="shared" si="44"/>
        <v>0</v>
      </c>
    </row>
    <row r="259" spans="1:23" outlineLevel="1" x14ac:dyDescent="0.3">
      <c r="A259" s="11"/>
      <c r="B259" s="11"/>
      <c r="C259" s="11"/>
      <c r="D259" s="1"/>
      <c r="E259" s="1"/>
      <c r="F259" s="1"/>
      <c r="G259" s="1"/>
      <c r="H259" s="1"/>
      <c r="I259" s="1"/>
      <c r="J259" s="1"/>
      <c r="K259" s="1"/>
      <c r="L259" s="1"/>
      <c r="M259" s="1"/>
      <c r="N259" s="1"/>
      <c r="O259" s="1"/>
      <c r="Q259" s="8">
        <f t="shared" si="39"/>
        <v>0</v>
      </c>
      <c r="S259" s="8">
        <f t="shared" si="40"/>
        <v>0</v>
      </c>
      <c r="T259" s="8">
        <f t="shared" si="41"/>
        <v>0</v>
      </c>
      <c r="U259" s="8">
        <f t="shared" si="42"/>
        <v>0</v>
      </c>
      <c r="V259" s="8">
        <f t="shared" si="43"/>
        <v>0</v>
      </c>
      <c r="W259" s="8">
        <f t="shared" si="44"/>
        <v>0</v>
      </c>
    </row>
    <row r="260" spans="1:23" outlineLevel="1" x14ac:dyDescent="0.3">
      <c r="A260" s="11"/>
      <c r="B260" s="11"/>
      <c r="C260" s="11"/>
      <c r="D260" s="1"/>
      <c r="E260" s="1"/>
      <c r="F260" s="1"/>
      <c r="G260" s="1"/>
      <c r="H260" s="1"/>
      <c r="I260" s="1"/>
      <c r="J260" s="1"/>
      <c r="K260" s="1"/>
      <c r="L260" s="1"/>
      <c r="M260" s="1"/>
      <c r="N260" s="1"/>
      <c r="O260" s="1"/>
      <c r="Q260" s="8">
        <f t="shared" si="39"/>
        <v>0</v>
      </c>
      <c r="S260" s="8">
        <f t="shared" si="40"/>
        <v>0</v>
      </c>
      <c r="T260" s="8">
        <f t="shared" si="41"/>
        <v>0</v>
      </c>
      <c r="U260" s="8">
        <f t="shared" si="42"/>
        <v>0</v>
      </c>
      <c r="V260" s="8">
        <f t="shared" si="43"/>
        <v>0</v>
      </c>
      <c r="W260" s="8">
        <f t="shared" si="44"/>
        <v>0</v>
      </c>
    </row>
    <row r="261" spans="1:23" outlineLevel="1" x14ac:dyDescent="0.3">
      <c r="A261" s="11"/>
      <c r="B261" s="11"/>
      <c r="C261" s="11"/>
      <c r="D261" s="1"/>
      <c r="E261" s="1"/>
      <c r="F261" s="1"/>
      <c r="G261" s="1"/>
      <c r="H261" s="1"/>
      <c r="I261" s="1"/>
      <c r="J261" s="1"/>
      <c r="K261" s="1"/>
      <c r="L261" s="1"/>
      <c r="M261" s="1"/>
      <c r="N261" s="1"/>
      <c r="O261" s="1"/>
      <c r="Q261" s="8">
        <f t="shared" si="39"/>
        <v>0</v>
      </c>
      <c r="S261" s="8">
        <f t="shared" si="40"/>
        <v>0</v>
      </c>
      <c r="T261" s="8">
        <f t="shared" si="41"/>
        <v>0</v>
      </c>
      <c r="U261" s="8">
        <f t="shared" si="42"/>
        <v>0</v>
      </c>
      <c r="V261" s="8">
        <f t="shared" si="43"/>
        <v>0</v>
      </c>
      <c r="W261" s="8">
        <f t="shared" si="44"/>
        <v>0</v>
      </c>
    </row>
    <row r="262" spans="1:23" outlineLevel="1" x14ac:dyDescent="0.3">
      <c r="A262" s="11"/>
      <c r="B262" s="11"/>
      <c r="C262" s="11"/>
      <c r="D262" s="1"/>
      <c r="E262" s="1"/>
      <c r="F262" s="1"/>
      <c r="G262" s="1"/>
      <c r="H262" s="1"/>
      <c r="I262" s="1"/>
      <c r="J262" s="1"/>
      <c r="K262" s="1"/>
      <c r="L262" s="1"/>
      <c r="M262" s="1"/>
      <c r="N262" s="1"/>
      <c r="O262" s="1"/>
      <c r="Q262" s="8">
        <f t="shared" si="39"/>
        <v>0</v>
      </c>
      <c r="S262" s="8">
        <f t="shared" si="40"/>
        <v>0</v>
      </c>
      <c r="T262" s="8">
        <f t="shared" si="41"/>
        <v>0</v>
      </c>
      <c r="U262" s="8">
        <f t="shared" si="42"/>
        <v>0</v>
      </c>
      <c r="V262" s="8">
        <f t="shared" si="43"/>
        <v>0</v>
      </c>
      <c r="W262" s="8">
        <f t="shared" si="44"/>
        <v>0</v>
      </c>
    </row>
    <row r="263" spans="1:23" outlineLevel="1" x14ac:dyDescent="0.3">
      <c r="A263" s="11"/>
      <c r="B263" s="11"/>
      <c r="C263" s="11"/>
      <c r="D263" s="1"/>
      <c r="E263" s="1"/>
      <c r="F263" s="1"/>
      <c r="G263" s="1"/>
      <c r="H263" s="1"/>
      <c r="I263" s="1"/>
      <c r="J263" s="1"/>
      <c r="K263" s="1"/>
      <c r="L263" s="1"/>
      <c r="M263" s="1"/>
      <c r="N263" s="1"/>
      <c r="O263" s="1"/>
      <c r="Q263" s="8">
        <f t="shared" si="39"/>
        <v>0</v>
      </c>
      <c r="S263" s="8">
        <f t="shared" si="40"/>
        <v>0</v>
      </c>
      <c r="T263" s="8">
        <f t="shared" si="41"/>
        <v>0</v>
      </c>
      <c r="U263" s="8">
        <f t="shared" si="42"/>
        <v>0</v>
      </c>
      <c r="V263" s="8">
        <f t="shared" si="43"/>
        <v>0</v>
      </c>
      <c r="W263" s="8">
        <f t="shared" si="44"/>
        <v>0</v>
      </c>
    </row>
    <row r="264" spans="1:23" outlineLevel="1" x14ac:dyDescent="0.3">
      <c r="A264" s="11"/>
      <c r="B264" s="11"/>
      <c r="C264" s="11"/>
      <c r="D264" s="1"/>
      <c r="E264" s="1"/>
      <c r="F264" s="1"/>
      <c r="G264" s="1"/>
      <c r="H264" s="1"/>
      <c r="I264" s="1"/>
      <c r="J264" s="1"/>
      <c r="K264" s="1"/>
      <c r="L264" s="1"/>
      <c r="M264" s="1"/>
      <c r="N264" s="1"/>
      <c r="O264" s="1"/>
      <c r="Q264" s="8">
        <f t="shared" si="39"/>
        <v>0</v>
      </c>
      <c r="S264" s="8">
        <f t="shared" si="40"/>
        <v>0</v>
      </c>
      <c r="T264" s="8">
        <f t="shared" si="41"/>
        <v>0</v>
      </c>
      <c r="U264" s="8">
        <f t="shared" si="42"/>
        <v>0</v>
      </c>
      <c r="V264" s="8">
        <f t="shared" si="43"/>
        <v>0</v>
      </c>
      <c r="W264" s="8">
        <f t="shared" si="44"/>
        <v>0</v>
      </c>
    </row>
    <row r="265" spans="1:23" outlineLevel="1" x14ac:dyDescent="0.3">
      <c r="A265" s="11"/>
      <c r="B265" s="11"/>
      <c r="C265" s="11"/>
      <c r="D265" s="1"/>
      <c r="E265" s="1"/>
      <c r="F265" s="1"/>
      <c r="G265" s="1"/>
      <c r="H265" s="1"/>
      <c r="I265" s="1"/>
      <c r="J265" s="1"/>
      <c r="K265" s="1"/>
      <c r="L265" s="1"/>
      <c r="M265" s="1"/>
      <c r="N265" s="1"/>
      <c r="O265" s="1"/>
      <c r="Q265" s="8">
        <f t="shared" si="39"/>
        <v>0</v>
      </c>
      <c r="S265" s="8">
        <f t="shared" si="40"/>
        <v>0</v>
      </c>
      <c r="T265" s="8">
        <f t="shared" si="41"/>
        <v>0</v>
      </c>
      <c r="U265" s="8">
        <f t="shared" si="42"/>
        <v>0</v>
      </c>
      <c r="V265" s="8">
        <f t="shared" si="43"/>
        <v>0</v>
      </c>
      <c r="W265" s="8">
        <f t="shared" si="44"/>
        <v>0</v>
      </c>
    </row>
    <row r="266" spans="1:23" outlineLevel="1" x14ac:dyDescent="0.3">
      <c r="A266" s="11"/>
      <c r="B266" s="11"/>
      <c r="C266" s="11"/>
      <c r="D266" s="1"/>
      <c r="E266" s="1"/>
      <c r="F266" s="1"/>
      <c r="G266" s="1"/>
      <c r="H266" s="1"/>
      <c r="I266" s="1"/>
      <c r="J266" s="1"/>
      <c r="K266" s="1"/>
      <c r="L266" s="1"/>
      <c r="M266" s="1"/>
      <c r="N266" s="1"/>
      <c r="O266" s="1"/>
      <c r="Q266" s="8">
        <f t="shared" si="39"/>
        <v>0</v>
      </c>
      <c r="S266" s="8">
        <f t="shared" si="40"/>
        <v>0</v>
      </c>
      <c r="T266" s="8">
        <f t="shared" si="41"/>
        <v>0</v>
      </c>
      <c r="U266" s="8">
        <f t="shared" si="42"/>
        <v>0</v>
      </c>
      <c r="V266" s="8">
        <f t="shared" si="43"/>
        <v>0</v>
      </c>
      <c r="W266" s="8">
        <f t="shared" si="44"/>
        <v>0</v>
      </c>
    </row>
    <row r="267" spans="1:23" outlineLevel="1" x14ac:dyDescent="0.3">
      <c r="A267" s="11"/>
      <c r="B267" s="11"/>
      <c r="C267" s="11"/>
      <c r="D267" s="1"/>
      <c r="E267" s="1"/>
      <c r="F267" s="1"/>
      <c r="G267" s="1"/>
      <c r="H267" s="1"/>
      <c r="I267" s="1"/>
      <c r="J267" s="1"/>
      <c r="K267" s="1"/>
      <c r="L267" s="1"/>
      <c r="M267" s="1"/>
      <c r="N267" s="1"/>
      <c r="O267" s="1"/>
      <c r="Q267" s="8">
        <f t="shared" si="39"/>
        <v>0</v>
      </c>
      <c r="S267" s="8">
        <f t="shared" si="40"/>
        <v>0</v>
      </c>
      <c r="T267" s="8">
        <f t="shared" si="41"/>
        <v>0</v>
      </c>
      <c r="U267" s="8">
        <f t="shared" si="42"/>
        <v>0</v>
      </c>
      <c r="V267" s="8">
        <f t="shared" si="43"/>
        <v>0</v>
      </c>
      <c r="W267" s="8">
        <f t="shared" si="44"/>
        <v>0</v>
      </c>
    </row>
    <row r="268" spans="1:23" outlineLevel="1" x14ac:dyDescent="0.3">
      <c r="A268" s="11"/>
      <c r="B268" s="11"/>
      <c r="C268" s="11"/>
      <c r="D268" s="1"/>
      <c r="E268" s="1"/>
      <c r="F268" s="1"/>
      <c r="G268" s="1"/>
      <c r="H268" s="1"/>
      <c r="I268" s="1"/>
      <c r="J268" s="1"/>
      <c r="K268" s="1"/>
      <c r="L268" s="1"/>
      <c r="M268" s="1"/>
      <c r="N268" s="1"/>
      <c r="O268" s="1"/>
      <c r="Q268" s="8">
        <f t="shared" si="39"/>
        <v>0</v>
      </c>
      <c r="S268" s="8">
        <f t="shared" si="40"/>
        <v>0</v>
      </c>
      <c r="T268" s="8">
        <f t="shared" si="41"/>
        <v>0</v>
      </c>
      <c r="U268" s="8">
        <f t="shared" si="42"/>
        <v>0</v>
      </c>
      <c r="V268" s="8">
        <f t="shared" si="43"/>
        <v>0</v>
      </c>
      <c r="W268" s="8">
        <f t="shared" si="44"/>
        <v>0</v>
      </c>
    </row>
    <row r="269" spans="1:23" outlineLevel="1" x14ac:dyDescent="0.3">
      <c r="A269" s="11"/>
      <c r="B269" s="11"/>
      <c r="C269" s="11"/>
      <c r="D269" s="1"/>
      <c r="E269" s="1"/>
      <c r="F269" s="1"/>
      <c r="G269" s="1"/>
      <c r="H269" s="1"/>
      <c r="I269" s="1"/>
      <c r="J269" s="1"/>
      <c r="K269" s="1"/>
      <c r="L269" s="1"/>
      <c r="M269" s="1"/>
      <c r="N269" s="1"/>
      <c r="O269" s="1"/>
      <c r="Q269" s="8">
        <f t="shared" si="39"/>
        <v>0</v>
      </c>
      <c r="S269" s="8">
        <f t="shared" si="40"/>
        <v>0</v>
      </c>
      <c r="T269" s="8">
        <f t="shared" si="41"/>
        <v>0</v>
      </c>
      <c r="U269" s="8">
        <f t="shared" si="42"/>
        <v>0</v>
      </c>
      <c r="V269" s="8">
        <f t="shared" si="43"/>
        <v>0</v>
      </c>
      <c r="W269" s="8">
        <f t="shared" si="44"/>
        <v>0</v>
      </c>
    </row>
    <row r="270" spans="1:23" outlineLevel="1" x14ac:dyDescent="0.3">
      <c r="A270" s="11"/>
      <c r="B270" s="11"/>
      <c r="C270" s="11"/>
      <c r="D270" s="1"/>
      <c r="E270" s="1"/>
      <c r="F270" s="1"/>
      <c r="G270" s="1"/>
      <c r="H270" s="1"/>
      <c r="I270" s="1"/>
      <c r="J270" s="1"/>
      <c r="K270" s="1"/>
      <c r="L270" s="1"/>
      <c r="M270" s="1"/>
      <c r="N270" s="1"/>
      <c r="O270" s="1"/>
      <c r="Q270" s="8">
        <f t="shared" si="39"/>
        <v>0</v>
      </c>
      <c r="S270" s="8">
        <f t="shared" si="40"/>
        <v>0</v>
      </c>
      <c r="T270" s="8">
        <f t="shared" si="41"/>
        <v>0</v>
      </c>
      <c r="U270" s="8">
        <f t="shared" si="42"/>
        <v>0</v>
      </c>
      <c r="V270" s="8">
        <f t="shared" si="43"/>
        <v>0</v>
      </c>
      <c r="W270" s="8">
        <f t="shared" si="44"/>
        <v>0</v>
      </c>
    </row>
    <row r="271" spans="1:23" outlineLevel="1" x14ac:dyDescent="0.3">
      <c r="A271" s="11"/>
      <c r="B271" s="11"/>
      <c r="C271" s="11"/>
      <c r="D271" s="1"/>
      <c r="E271" s="1"/>
      <c r="F271" s="1"/>
      <c r="G271" s="1"/>
      <c r="H271" s="1"/>
      <c r="I271" s="1"/>
      <c r="J271" s="1"/>
      <c r="K271" s="1"/>
      <c r="L271" s="1"/>
      <c r="M271" s="1"/>
      <c r="N271" s="1"/>
      <c r="O271" s="1"/>
      <c r="Q271" s="8">
        <f t="shared" si="39"/>
        <v>0</v>
      </c>
      <c r="S271" s="8">
        <f t="shared" si="40"/>
        <v>0</v>
      </c>
      <c r="T271" s="8">
        <f t="shared" si="41"/>
        <v>0</v>
      </c>
      <c r="U271" s="8">
        <f t="shared" si="42"/>
        <v>0</v>
      </c>
      <c r="V271" s="8">
        <f t="shared" si="43"/>
        <v>0</v>
      </c>
      <c r="W271" s="8">
        <f t="shared" si="44"/>
        <v>0</v>
      </c>
    </row>
    <row r="272" spans="1:23" outlineLevel="1" x14ac:dyDescent="0.3">
      <c r="A272" s="11"/>
      <c r="B272" s="11"/>
      <c r="C272" s="11"/>
      <c r="D272" s="1"/>
      <c r="E272" s="1"/>
      <c r="F272" s="1"/>
      <c r="G272" s="1"/>
      <c r="H272" s="1"/>
      <c r="I272" s="1"/>
      <c r="J272" s="1"/>
      <c r="K272" s="1"/>
      <c r="L272" s="1"/>
      <c r="M272" s="1"/>
      <c r="N272" s="1"/>
      <c r="O272" s="1"/>
      <c r="Q272" s="8">
        <f t="shared" si="39"/>
        <v>0</v>
      </c>
      <c r="S272" s="8">
        <f t="shared" si="40"/>
        <v>0</v>
      </c>
      <c r="T272" s="8">
        <f t="shared" si="41"/>
        <v>0</v>
      </c>
      <c r="U272" s="8">
        <f t="shared" si="42"/>
        <v>0</v>
      </c>
      <c r="V272" s="8">
        <f t="shared" si="43"/>
        <v>0</v>
      </c>
      <c r="W272" s="8">
        <f t="shared" si="44"/>
        <v>0</v>
      </c>
    </row>
    <row r="273" spans="1:23" outlineLevel="1" x14ac:dyDescent="0.3">
      <c r="A273" s="11"/>
      <c r="B273" s="11"/>
      <c r="C273" s="11"/>
      <c r="D273" s="1"/>
      <c r="E273" s="1"/>
      <c r="F273" s="1"/>
      <c r="G273" s="1"/>
      <c r="H273" s="1"/>
      <c r="I273" s="1"/>
      <c r="J273" s="1"/>
      <c r="K273" s="1"/>
      <c r="L273" s="1"/>
      <c r="M273" s="1"/>
      <c r="N273" s="1"/>
      <c r="O273" s="1"/>
      <c r="Q273" s="8">
        <f t="shared" si="39"/>
        <v>0</v>
      </c>
      <c r="S273" s="8">
        <f t="shared" si="40"/>
        <v>0</v>
      </c>
      <c r="T273" s="8">
        <f t="shared" si="41"/>
        <v>0</v>
      </c>
      <c r="U273" s="8">
        <f t="shared" si="42"/>
        <v>0</v>
      </c>
      <c r="V273" s="8">
        <f t="shared" si="43"/>
        <v>0</v>
      </c>
      <c r="W273" s="8">
        <f t="shared" si="44"/>
        <v>0</v>
      </c>
    </row>
    <row r="274" spans="1:23" outlineLevel="1" x14ac:dyDescent="0.3">
      <c r="A274" s="11"/>
      <c r="B274" s="11"/>
      <c r="C274" s="11"/>
      <c r="D274" s="1"/>
      <c r="E274" s="1"/>
      <c r="F274" s="1"/>
      <c r="G274" s="1"/>
      <c r="H274" s="1"/>
      <c r="I274" s="1"/>
      <c r="J274" s="1"/>
      <c r="K274" s="1"/>
      <c r="L274" s="1"/>
      <c r="M274" s="1"/>
      <c r="N274" s="1"/>
      <c r="O274" s="1"/>
      <c r="Q274" s="8">
        <f t="shared" si="39"/>
        <v>0</v>
      </c>
      <c r="S274" s="8">
        <f t="shared" si="40"/>
        <v>0</v>
      </c>
      <c r="T274" s="8">
        <f t="shared" si="41"/>
        <v>0</v>
      </c>
      <c r="U274" s="8">
        <f t="shared" si="42"/>
        <v>0</v>
      </c>
      <c r="V274" s="8">
        <f t="shared" si="43"/>
        <v>0</v>
      </c>
      <c r="W274" s="8">
        <f t="shared" si="44"/>
        <v>0</v>
      </c>
    </row>
    <row r="275" spans="1:23" outlineLevel="1" x14ac:dyDescent="0.3">
      <c r="A275" s="11"/>
      <c r="B275" s="11"/>
      <c r="C275" s="11"/>
      <c r="D275" s="1"/>
      <c r="E275" s="1"/>
      <c r="F275" s="1"/>
      <c r="G275" s="1"/>
      <c r="H275" s="1"/>
      <c r="I275" s="1"/>
      <c r="J275" s="1"/>
      <c r="K275" s="1"/>
      <c r="L275" s="1"/>
      <c r="M275" s="1"/>
      <c r="N275" s="1"/>
      <c r="O275" s="1"/>
      <c r="Q275" s="8">
        <f t="shared" si="39"/>
        <v>0</v>
      </c>
      <c r="S275" s="8">
        <f t="shared" si="40"/>
        <v>0</v>
      </c>
      <c r="T275" s="8">
        <f t="shared" si="41"/>
        <v>0</v>
      </c>
      <c r="U275" s="8">
        <f t="shared" si="42"/>
        <v>0</v>
      </c>
      <c r="V275" s="8">
        <f t="shared" si="43"/>
        <v>0</v>
      </c>
      <c r="W275" s="8">
        <f t="shared" si="44"/>
        <v>0</v>
      </c>
    </row>
    <row r="276" spans="1:23" outlineLevel="1" x14ac:dyDescent="0.3">
      <c r="A276" s="11"/>
      <c r="B276" s="11"/>
      <c r="C276" s="11"/>
      <c r="D276" s="1"/>
      <c r="E276" s="1"/>
      <c r="F276" s="1"/>
      <c r="G276" s="1"/>
      <c r="H276" s="1"/>
      <c r="I276" s="1"/>
      <c r="J276" s="1"/>
      <c r="K276" s="1"/>
      <c r="L276" s="1"/>
      <c r="M276" s="1"/>
      <c r="N276" s="1"/>
      <c r="O276" s="1"/>
      <c r="Q276" s="8">
        <f t="shared" si="39"/>
        <v>0</v>
      </c>
      <c r="S276" s="8">
        <f t="shared" si="40"/>
        <v>0</v>
      </c>
      <c r="T276" s="8">
        <f t="shared" si="41"/>
        <v>0</v>
      </c>
      <c r="U276" s="8">
        <f t="shared" si="42"/>
        <v>0</v>
      </c>
      <c r="V276" s="8">
        <f t="shared" si="43"/>
        <v>0</v>
      </c>
      <c r="W276" s="8">
        <f t="shared" si="44"/>
        <v>0</v>
      </c>
    </row>
    <row r="277" spans="1:23" outlineLevel="1" x14ac:dyDescent="0.3">
      <c r="A277" s="11"/>
      <c r="B277" s="11"/>
      <c r="C277" s="11"/>
      <c r="D277" s="1"/>
      <c r="E277" s="1"/>
      <c r="F277" s="1"/>
      <c r="G277" s="1"/>
      <c r="H277" s="1"/>
      <c r="I277" s="1"/>
      <c r="J277" s="1"/>
      <c r="K277" s="1"/>
      <c r="L277" s="1"/>
      <c r="M277" s="1"/>
      <c r="N277" s="1"/>
      <c r="O277" s="1"/>
      <c r="Q277" s="8">
        <f t="shared" si="39"/>
        <v>0</v>
      </c>
      <c r="S277" s="8">
        <f t="shared" si="40"/>
        <v>0</v>
      </c>
      <c r="T277" s="8">
        <f t="shared" si="41"/>
        <v>0</v>
      </c>
      <c r="U277" s="8">
        <f t="shared" si="42"/>
        <v>0</v>
      </c>
      <c r="V277" s="8">
        <f t="shared" si="43"/>
        <v>0</v>
      </c>
      <c r="W277" s="8">
        <f t="shared" si="44"/>
        <v>0</v>
      </c>
    </row>
    <row r="278" spans="1:23" outlineLevel="1" x14ac:dyDescent="0.3">
      <c r="A278" s="11"/>
      <c r="B278" s="11"/>
      <c r="C278" s="11"/>
      <c r="D278" s="1"/>
      <c r="E278" s="1"/>
      <c r="F278" s="1"/>
      <c r="G278" s="1"/>
      <c r="H278" s="1"/>
      <c r="I278" s="1"/>
      <c r="J278" s="1"/>
      <c r="K278" s="1"/>
      <c r="L278" s="1"/>
      <c r="M278" s="1"/>
      <c r="N278" s="1"/>
      <c r="O278" s="1"/>
      <c r="Q278" s="8">
        <f t="shared" si="39"/>
        <v>0</v>
      </c>
      <c r="S278" s="8">
        <f t="shared" si="40"/>
        <v>0</v>
      </c>
      <c r="T278" s="8">
        <f t="shared" si="41"/>
        <v>0</v>
      </c>
      <c r="U278" s="8">
        <f t="shared" si="42"/>
        <v>0</v>
      </c>
      <c r="V278" s="8">
        <f t="shared" si="43"/>
        <v>0</v>
      </c>
      <c r="W278" s="8">
        <f t="shared" si="44"/>
        <v>0</v>
      </c>
    </row>
    <row r="279" spans="1:23" outlineLevel="1" x14ac:dyDescent="0.3">
      <c r="A279" s="11"/>
      <c r="B279" s="11"/>
      <c r="C279" s="11"/>
      <c r="D279" s="1"/>
      <c r="E279" s="1"/>
      <c r="F279" s="1"/>
      <c r="G279" s="1"/>
      <c r="H279" s="1"/>
      <c r="I279" s="1"/>
      <c r="J279" s="1"/>
      <c r="K279" s="1"/>
      <c r="L279" s="1"/>
      <c r="M279" s="1"/>
      <c r="N279" s="1"/>
      <c r="O279" s="1"/>
      <c r="Q279" s="8">
        <f t="shared" si="39"/>
        <v>0</v>
      </c>
      <c r="S279" s="8">
        <f t="shared" si="40"/>
        <v>0</v>
      </c>
      <c r="T279" s="8">
        <f t="shared" si="41"/>
        <v>0</v>
      </c>
      <c r="U279" s="8">
        <f t="shared" si="42"/>
        <v>0</v>
      </c>
      <c r="V279" s="8">
        <f t="shared" si="43"/>
        <v>0</v>
      </c>
      <c r="W279" s="8">
        <f t="shared" si="44"/>
        <v>0</v>
      </c>
    </row>
    <row r="280" spans="1:23" outlineLevel="1" x14ac:dyDescent="0.3">
      <c r="A280" s="11"/>
      <c r="B280" s="11"/>
      <c r="C280" s="11"/>
      <c r="D280" s="1"/>
      <c r="E280" s="1"/>
      <c r="F280" s="1"/>
      <c r="G280" s="1"/>
      <c r="H280" s="1"/>
      <c r="I280" s="1"/>
      <c r="J280" s="1"/>
      <c r="K280" s="1"/>
      <c r="L280" s="1"/>
      <c r="M280" s="1"/>
      <c r="N280" s="1"/>
      <c r="O280" s="1"/>
      <c r="Q280" s="8">
        <f t="shared" si="39"/>
        <v>0</v>
      </c>
      <c r="S280" s="8">
        <f t="shared" si="40"/>
        <v>0</v>
      </c>
      <c r="T280" s="8">
        <f t="shared" si="41"/>
        <v>0</v>
      </c>
      <c r="U280" s="8">
        <f t="shared" si="42"/>
        <v>0</v>
      </c>
      <c r="V280" s="8">
        <f t="shared" si="43"/>
        <v>0</v>
      </c>
      <c r="W280" s="8">
        <f t="shared" si="44"/>
        <v>0</v>
      </c>
    </row>
    <row r="281" spans="1:23" outlineLevel="1" x14ac:dyDescent="0.3">
      <c r="A281" s="11"/>
      <c r="B281" s="11"/>
      <c r="C281" s="11"/>
      <c r="D281" s="1"/>
      <c r="E281" s="1"/>
      <c r="F281" s="1"/>
      <c r="G281" s="1"/>
      <c r="H281" s="1"/>
      <c r="I281" s="1"/>
      <c r="J281" s="1"/>
      <c r="K281" s="1"/>
      <c r="L281" s="1"/>
      <c r="M281" s="1"/>
      <c r="N281" s="1"/>
      <c r="O281" s="1"/>
      <c r="Q281" s="8">
        <f t="shared" si="39"/>
        <v>0</v>
      </c>
      <c r="S281" s="8">
        <f t="shared" si="40"/>
        <v>0</v>
      </c>
      <c r="T281" s="8">
        <f t="shared" si="41"/>
        <v>0</v>
      </c>
      <c r="U281" s="8">
        <f t="shared" si="42"/>
        <v>0</v>
      </c>
      <c r="V281" s="8">
        <f t="shared" si="43"/>
        <v>0</v>
      </c>
      <c r="W281" s="8">
        <f t="shared" si="44"/>
        <v>0</v>
      </c>
    </row>
    <row r="282" spans="1:23" outlineLevel="1" x14ac:dyDescent="0.3">
      <c r="A282" s="11"/>
      <c r="B282" s="11"/>
      <c r="C282" s="11"/>
      <c r="D282" s="1"/>
      <c r="E282" s="1"/>
      <c r="F282" s="1"/>
      <c r="G282" s="1"/>
      <c r="H282" s="1"/>
      <c r="I282" s="1"/>
      <c r="J282" s="1"/>
      <c r="K282" s="1"/>
      <c r="L282" s="1"/>
      <c r="M282" s="1"/>
      <c r="N282" s="1"/>
      <c r="O282" s="1"/>
      <c r="Q282" s="8">
        <f t="shared" si="39"/>
        <v>0</v>
      </c>
      <c r="S282" s="8">
        <f t="shared" si="40"/>
        <v>0</v>
      </c>
      <c r="T282" s="8">
        <f t="shared" si="41"/>
        <v>0</v>
      </c>
      <c r="U282" s="8">
        <f t="shared" si="42"/>
        <v>0</v>
      </c>
      <c r="V282" s="8">
        <f t="shared" si="43"/>
        <v>0</v>
      </c>
      <c r="W282" s="8">
        <f t="shared" si="44"/>
        <v>0</v>
      </c>
    </row>
    <row r="283" spans="1:23" outlineLevel="1" x14ac:dyDescent="0.3">
      <c r="A283" s="11"/>
      <c r="B283" s="11"/>
      <c r="C283" s="11"/>
      <c r="D283" s="1"/>
      <c r="E283" s="1"/>
      <c r="F283" s="1"/>
      <c r="G283" s="1"/>
      <c r="H283" s="1"/>
      <c r="I283" s="1"/>
      <c r="J283" s="1"/>
      <c r="K283" s="1"/>
      <c r="L283" s="1"/>
      <c r="M283" s="1"/>
      <c r="N283" s="1"/>
      <c r="O283" s="1"/>
      <c r="Q283" s="8">
        <f t="shared" si="39"/>
        <v>0</v>
      </c>
      <c r="S283" s="8">
        <f t="shared" si="40"/>
        <v>0</v>
      </c>
      <c r="T283" s="8">
        <f t="shared" si="41"/>
        <v>0</v>
      </c>
      <c r="U283" s="8">
        <f t="shared" si="42"/>
        <v>0</v>
      </c>
      <c r="V283" s="8">
        <f t="shared" si="43"/>
        <v>0</v>
      </c>
      <c r="W283" s="8">
        <f t="shared" si="44"/>
        <v>0</v>
      </c>
    </row>
    <row r="284" spans="1:23" outlineLevel="1" x14ac:dyDescent="0.3">
      <c r="A284" s="11"/>
      <c r="B284" s="11"/>
      <c r="C284" s="11"/>
      <c r="D284" s="1"/>
      <c r="E284" s="1"/>
      <c r="F284" s="1"/>
      <c r="G284" s="1"/>
      <c r="H284" s="1"/>
      <c r="I284" s="1"/>
      <c r="J284" s="1"/>
      <c r="K284" s="1"/>
      <c r="L284" s="1"/>
      <c r="M284" s="1"/>
      <c r="N284" s="1"/>
      <c r="O284" s="1"/>
      <c r="Q284" s="8">
        <f t="shared" si="39"/>
        <v>0</v>
      </c>
      <c r="S284" s="8">
        <f t="shared" si="40"/>
        <v>0</v>
      </c>
      <c r="T284" s="8">
        <f t="shared" si="41"/>
        <v>0</v>
      </c>
      <c r="U284" s="8">
        <f t="shared" si="42"/>
        <v>0</v>
      </c>
      <c r="V284" s="8">
        <f t="shared" si="43"/>
        <v>0</v>
      </c>
      <c r="W284" s="8">
        <f t="shared" si="44"/>
        <v>0</v>
      </c>
    </row>
    <row r="285" spans="1:23" outlineLevel="1" x14ac:dyDescent="0.3">
      <c r="A285" s="11"/>
      <c r="B285" s="11"/>
      <c r="C285" s="11"/>
      <c r="D285" s="1"/>
      <c r="E285" s="1"/>
      <c r="F285" s="1"/>
      <c r="G285" s="1"/>
      <c r="H285" s="1"/>
      <c r="I285" s="1"/>
      <c r="J285" s="1"/>
      <c r="K285" s="1"/>
      <c r="L285" s="1"/>
      <c r="M285" s="1"/>
      <c r="N285" s="1"/>
      <c r="O285" s="1"/>
      <c r="Q285" s="8">
        <f t="shared" si="39"/>
        <v>0</v>
      </c>
      <c r="S285" s="8">
        <f t="shared" si="40"/>
        <v>0</v>
      </c>
      <c r="T285" s="8">
        <f t="shared" si="41"/>
        <v>0</v>
      </c>
      <c r="U285" s="8">
        <f t="shared" si="42"/>
        <v>0</v>
      </c>
      <c r="V285" s="8">
        <f t="shared" si="43"/>
        <v>0</v>
      </c>
      <c r="W285" s="8">
        <f t="shared" si="44"/>
        <v>0</v>
      </c>
    </row>
    <row r="286" spans="1:23" outlineLevel="1" x14ac:dyDescent="0.3">
      <c r="A286" s="11"/>
      <c r="B286" s="11"/>
      <c r="C286" s="11"/>
      <c r="D286" s="1"/>
      <c r="E286" s="1"/>
      <c r="F286" s="1"/>
      <c r="G286" s="1"/>
      <c r="H286" s="1"/>
      <c r="I286" s="1"/>
      <c r="J286" s="1"/>
      <c r="K286" s="1"/>
      <c r="L286" s="1"/>
      <c r="M286" s="1"/>
      <c r="N286" s="1"/>
      <c r="O286" s="1"/>
      <c r="Q286" s="8">
        <f t="shared" si="39"/>
        <v>0</v>
      </c>
      <c r="S286" s="8">
        <f t="shared" si="40"/>
        <v>0</v>
      </c>
      <c r="T286" s="8">
        <f t="shared" si="41"/>
        <v>0</v>
      </c>
      <c r="U286" s="8">
        <f t="shared" si="42"/>
        <v>0</v>
      </c>
      <c r="V286" s="8">
        <f t="shared" si="43"/>
        <v>0</v>
      </c>
      <c r="W286" s="8">
        <f t="shared" si="44"/>
        <v>0</v>
      </c>
    </row>
    <row r="287" spans="1:23" outlineLevel="1" x14ac:dyDescent="0.3">
      <c r="A287" s="11"/>
      <c r="B287" s="11"/>
      <c r="C287" s="11"/>
      <c r="D287" s="1"/>
      <c r="E287" s="1"/>
      <c r="F287" s="1"/>
      <c r="G287" s="1"/>
      <c r="H287" s="1"/>
      <c r="I287" s="1"/>
      <c r="J287" s="1"/>
      <c r="K287" s="1"/>
      <c r="L287" s="1"/>
      <c r="M287" s="1"/>
      <c r="N287" s="1"/>
      <c r="O287" s="1"/>
      <c r="Q287" s="8">
        <f t="shared" si="39"/>
        <v>0</v>
      </c>
      <c r="S287" s="8">
        <f t="shared" si="40"/>
        <v>0</v>
      </c>
      <c r="T287" s="8">
        <f t="shared" si="41"/>
        <v>0</v>
      </c>
      <c r="U287" s="8">
        <f t="shared" si="42"/>
        <v>0</v>
      </c>
      <c r="V287" s="8">
        <f t="shared" si="43"/>
        <v>0</v>
      </c>
      <c r="W287" s="8">
        <f t="shared" si="44"/>
        <v>0</v>
      </c>
    </row>
    <row r="288" spans="1:23" outlineLevel="1" x14ac:dyDescent="0.3">
      <c r="A288" s="11"/>
      <c r="B288" s="11"/>
      <c r="C288" s="11"/>
      <c r="D288" s="1"/>
      <c r="E288" s="1"/>
      <c r="F288" s="1"/>
      <c r="G288" s="1"/>
      <c r="H288" s="1"/>
      <c r="I288" s="1"/>
      <c r="J288" s="1"/>
      <c r="K288" s="1"/>
      <c r="L288" s="1"/>
      <c r="M288" s="1"/>
      <c r="N288" s="1"/>
      <c r="O288" s="1"/>
      <c r="Q288" s="8">
        <f t="shared" si="39"/>
        <v>0</v>
      </c>
      <c r="S288" s="8">
        <f t="shared" si="40"/>
        <v>0</v>
      </c>
      <c r="T288" s="8">
        <f t="shared" si="41"/>
        <v>0</v>
      </c>
      <c r="U288" s="8">
        <f t="shared" si="42"/>
        <v>0</v>
      </c>
      <c r="V288" s="8">
        <f t="shared" si="43"/>
        <v>0</v>
      </c>
      <c r="W288" s="8">
        <f t="shared" si="44"/>
        <v>0</v>
      </c>
    </row>
    <row r="289" spans="1:23" outlineLevel="1" x14ac:dyDescent="0.3">
      <c r="A289" s="11"/>
      <c r="B289" s="11"/>
      <c r="C289" s="11"/>
      <c r="D289" s="1"/>
      <c r="E289" s="1"/>
      <c r="F289" s="1"/>
      <c r="G289" s="1"/>
      <c r="H289" s="1"/>
      <c r="I289" s="1"/>
      <c r="J289" s="1"/>
      <c r="K289" s="1"/>
      <c r="L289" s="1"/>
      <c r="M289" s="1"/>
      <c r="N289" s="1"/>
      <c r="O289" s="1"/>
      <c r="Q289" s="8">
        <f t="shared" si="39"/>
        <v>0</v>
      </c>
      <c r="S289" s="8">
        <f t="shared" si="40"/>
        <v>0</v>
      </c>
      <c r="T289" s="8">
        <f t="shared" si="41"/>
        <v>0</v>
      </c>
      <c r="U289" s="8">
        <f t="shared" si="42"/>
        <v>0</v>
      </c>
      <c r="V289" s="8">
        <f t="shared" si="43"/>
        <v>0</v>
      </c>
      <c r="W289" s="8">
        <f t="shared" si="44"/>
        <v>0</v>
      </c>
    </row>
    <row r="290" spans="1:23" outlineLevel="1" x14ac:dyDescent="0.3">
      <c r="A290" s="11"/>
      <c r="B290" s="11"/>
      <c r="C290" s="11"/>
      <c r="D290" s="1"/>
      <c r="E290" s="1"/>
      <c r="F290" s="1"/>
      <c r="G290" s="1"/>
      <c r="H290" s="1"/>
      <c r="I290" s="1"/>
      <c r="J290" s="1"/>
      <c r="K290" s="1"/>
      <c r="L290" s="1"/>
      <c r="M290" s="1"/>
      <c r="N290" s="1"/>
      <c r="O290" s="1"/>
      <c r="Q290" s="8">
        <f t="shared" si="39"/>
        <v>0</v>
      </c>
      <c r="S290" s="8">
        <f t="shared" si="40"/>
        <v>0</v>
      </c>
      <c r="T290" s="8">
        <f t="shared" si="41"/>
        <v>0</v>
      </c>
      <c r="U290" s="8">
        <f t="shared" si="42"/>
        <v>0</v>
      </c>
      <c r="V290" s="8">
        <f t="shared" si="43"/>
        <v>0</v>
      </c>
      <c r="W290" s="8">
        <f t="shared" si="44"/>
        <v>0</v>
      </c>
    </row>
    <row r="291" spans="1:23" outlineLevel="1" x14ac:dyDescent="0.3">
      <c r="A291" s="11"/>
      <c r="B291" s="11"/>
      <c r="C291" s="11"/>
      <c r="D291" s="1"/>
      <c r="E291" s="1"/>
      <c r="F291" s="1"/>
      <c r="G291" s="1"/>
      <c r="H291" s="1"/>
      <c r="I291" s="1"/>
      <c r="J291" s="1"/>
      <c r="K291" s="1"/>
      <c r="L291" s="1"/>
      <c r="M291" s="1"/>
      <c r="N291" s="1"/>
      <c r="O291" s="1"/>
      <c r="Q291" s="8">
        <f t="shared" si="39"/>
        <v>0</v>
      </c>
      <c r="S291" s="8">
        <f t="shared" si="40"/>
        <v>0</v>
      </c>
      <c r="T291" s="8">
        <f t="shared" si="41"/>
        <v>0</v>
      </c>
      <c r="U291" s="8">
        <f t="shared" si="42"/>
        <v>0</v>
      </c>
      <c r="V291" s="8">
        <f t="shared" si="43"/>
        <v>0</v>
      </c>
      <c r="W291" s="8">
        <f t="shared" si="44"/>
        <v>0</v>
      </c>
    </row>
    <row r="292" spans="1:23" outlineLevel="1" x14ac:dyDescent="0.3">
      <c r="A292" s="11"/>
      <c r="B292" s="11"/>
      <c r="C292" s="11"/>
      <c r="D292" s="1"/>
      <c r="E292" s="1"/>
      <c r="F292" s="1"/>
      <c r="G292" s="1"/>
      <c r="H292" s="1"/>
      <c r="I292" s="1"/>
      <c r="J292" s="1"/>
      <c r="K292" s="1"/>
      <c r="L292" s="1"/>
      <c r="M292" s="1"/>
      <c r="N292" s="1"/>
      <c r="O292" s="1"/>
      <c r="Q292" s="8">
        <f t="shared" si="39"/>
        <v>0</v>
      </c>
      <c r="S292" s="8">
        <f t="shared" si="40"/>
        <v>0</v>
      </c>
      <c r="T292" s="8">
        <f t="shared" si="41"/>
        <v>0</v>
      </c>
      <c r="U292" s="8">
        <f t="shared" si="42"/>
        <v>0</v>
      </c>
      <c r="V292" s="8">
        <f t="shared" si="43"/>
        <v>0</v>
      </c>
      <c r="W292" s="8">
        <f t="shared" si="44"/>
        <v>0</v>
      </c>
    </row>
    <row r="293" spans="1:23" outlineLevel="1" x14ac:dyDescent="0.3">
      <c r="A293" s="11"/>
      <c r="B293" s="11"/>
      <c r="C293" s="11"/>
      <c r="D293" s="1"/>
      <c r="E293" s="1"/>
      <c r="F293" s="1"/>
      <c r="G293" s="1"/>
      <c r="H293" s="1"/>
      <c r="I293" s="1"/>
      <c r="J293" s="1"/>
      <c r="K293" s="1"/>
      <c r="L293" s="1"/>
      <c r="M293" s="1"/>
      <c r="N293" s="1"/>
      <c r="O293" s="1"/>
      <c r="Q293" s="8">
        <f t="shared" si="39"/>
        <v>0</v>
      </c>
      <c r="S293" s="8">
        <f t="shared" si="40"/>
        <v>0</v>
      </c>
      <c r="T293" s="8">
        <f t="shared" si="41"/>
        <v>0</v>
      </c>
      <c r="U293" s="8">
        <f t="shared" si="42"/>
        <v>0</v>
      </c>
      <c r="V293" s="8">
        <f t="shared" si="43"/>
        <v>0</v>
      </c>
      <c r="W293" s="8">
        <f t="shared" si="44"/>
        <v>0</v>
      </c>
    </row>
    <row r="294" spans="1:23" outlineLevel="1" x14ac:dyDescent="0.3">
      <c r="A294" s="11"/>
      <c r="B294" s="11"/>
      <c r="C294" s="11"/>
      <c r="D294" s="1"/>
      <c r="E294" s="1"/>
      <c r="F294" s="1"/>
      <c r="G294" s="1"/>
      <c r="H294" s="1"/>
      <c r="I294" s="1"/>
      <c r="J294" s="1"/>
      <c r="K294" s="1"/>
      <c r="L294" s="1"/>
      <c r="M294" s="1"/>
      <c r="N294" s="1"/>
      <c r="O294" s="1"/>
      <c r="Q294" s="8">
        <f t="shared" si="39"/>
        <v>0</v>
      </c>
      <c r="S294" s="8">
        <f t="shared" si="40"/>
        <v>0</v>
      </c>
      <c r="T294" s="8">
        <f t="shared" si="41"/>
        <v>0</v>
      </c>
      <c r="U294" s="8">
        <f t="shared" si="42"/>
        <v>0</v>
      </c>
      <c r="V294" s="8">
        <f t="shared" si="43"/>
        <v>0</v>
      </c>
      <c r="W294" s="8">
        <f t="shared" si="44"/>
        <v>0</v>
      </c>
    </row>
    <row r="295" spans="1:23" outlineLevel="1" x14ac:dyDescent="0.3">
      <c r="A295" s="11"/>
      <c r="B295" s="11"/>
      <c r="C295" s="11"/>
      <c r="D295" s="1"/>
      <c r="E295" s="1"/>
      <c r="F295" s="1"/>
      <c r="G295" s="1"/>
      <c r="H295" s="1"/>
      <c r="I295" s="1"/>
      <c r="J295" s="1"/>
      <c r="K295" s="1"/>
      <c r="L295" s="1"/>
      <c r="M295" s="1"/>
      <c r="N295" s="1"/>
      <c r="O295" s="1"/>
      <c r="Q295" s="8">
        <f t="shared" si="39"/>
        <v>0</v>
      </c>
      <c r="S295" s="8">
        <f t="shared" si="40"/>
        <v>0</v>
      </c>
      <c r="T295" s="8">
        <f t="shared" si="41"/>
        <v>0</v>
      </c>
      <c r="U295" s="8">
        <f t="shared" si="42"/>
        <v>0</v>
      </c>
      <c r="V295" s="8">
        <f t="shared" si="43"/>
        <v>0</v>
      </c>
      <c r="W295" s="8">
        <f t="shared" si="44"/>
        <v>0</v>
      </c>
    </row>
    <row r="296" spans="1:23" outlineLevel="1" x14ac:dyDescent="0.3">
      <c r="A296" s="11"/>
      <c r="B296" s="11"/>
      <c r="C296" s="11"/>
      <c r="D296" s="1"/>
      <c r="E296" s="1"/>
      <c r="F296" s="1"/>
      <c r="G296" s="1"/>
      <c r="H296" s="1"/>
      <c r="I296" s="1"/>
      <c r="J296" s="1"/>
      <c r="K296" s="1"/>
      <c r="L296" s="1"/>
      <c r="M296" s="1"/>
      <c r="N296" s="1"/>
      <c r="O296" s="1"/>
      <c r="Q296" s="8">
        <f t="shared" si="39"/>
        <v>0</v>
      </c>
      <c r="S296" s="8">
        <f t="shared" si="40"/>
        <v>0</v>
      </c>
      <c r="T296" s="8">
        <f t="shared" si="41"/>
        <v>0</v>
      </c>
      <c r="U296" s="8">
        <f t="shared" si="42"/>
        <v>0</v>
      </c>
      <c r="V296" s="8">
        <f t="shared" si="43"/>
        <v>0</v>
      </c>
      <c r="W296" s="8">
        <f t="shared" si="44"/>
        <v>0</v>
      </c>
    </row>
    <row r="297" spans="1:23" outlineLevel="1" x14ac:dyDescent="0.3">
      <c r="A297" s="11"/>
      <c r="B297" s="11"/>
      <c r="C297" s="11"/>
      <c r="D297" s="1"/>
      <c r="E297" s="1"/>
      <c r="F297" s="1"/>
      <c r="G297" s="1"/>
      <c r="H297" s="1"/>
      <c r="I297" s="1"/>
      <c r="J297" s="1"/>
      <c r="K297" s="1"/>
      <c r="L297" s="1"/>
      <c r="M297" s="1"/>
      <c r="N297" s="1"/>
      <c r="O297" s="1"/>
      <c r="Q297" s="8">
        <f t="shared" ref="Q297:Q430" si="45">IFERROR(SUM(D297:O297),"")</f>
        <v>0</v>
      </c>
      <c r="S297" s="8">
        <f t="shared" si="40"/>
        <v>0</v>
      </c>
      <c r="T297" s="8">
        <f t="shared" si="41"/>
        <v>0</v>
      </c>
      <c r="U297" s="8">
        <f t="shared" si="42"/>
        <v>0</v>
      </c>
      <c r="V297" s="8">
        <f t="shared" si="43"/>
        <v>0</v>
      </c>
      <c r="W297" s="8">
        <f t="shared" si="44"/>
        <v>0</v>
      </c>
    </row>
    <row r="298" spans="1:23" outlineLevel="1" x14ac:dyDescent="0.3">
      <c r="A298" s="11"/>
      <c r="B298" s="11"/>
      <c r="C298" s="11"/>
      <c r="D298" s="1"/>
      <c r="E298" s="1"/>
      <c r="F298" s="1"/>
      <c r="G298" s="1"/>
      <c r="H298" s="1"/>
      <c r="I298" s="1"/>
      <c r="J298" s="1"/>
      <c r="K298" s="1"/>
      <c r="L298" s="1"/>
      <c r="M298" s="1"/>
      <c r="N298" s="1"/>
      <c r="O298" s="1"/>
      <c r="Q298" s="8">
        <f t="shared" si="45"/>
        <v>0</v>
      </c>
      <c r="S298" s="8">
        <f t="shared" ref="S298:S430" si="46">+SUM(O298)*12</f>
        <v>0</v>
      </c>
      <c r="T298" s="8">
        <f t="shared" ref="T298:T430" si="47">+SUM(M298:O298)*4</f>
        <v>0</v>
      </c>
      <c r="U298" s="8">
        <f t="shared" ref="U298:U430" si="48">+SUM(J298:O298)*2</f>
        <v>0</v>
      </c>
      <c r="V298" s="8">
        <f t="shared" ref="V298:V430" si="49">+SUM(G298:O298)/9*12</f>
        <v>0</v>
      </c>
      <c r="W298" s="8">
        <f t="shared" ref="W298:W430" si="50">+SUM(D298:O298)</f>
        <v>0</v>
      </c>
    </row>
    <row r="299" spans="1:23" outlineLevel="1" x14ac:dyDescent="0.3">
      <c r="A299" s="11"/>
      <c r="B299" s="11"/>
      <c r="C299" s="11"/>
      <c r="D299" s="1"/>
      <c r="E299" s="1"/>
      <c r="F299" s="1"/>
      <c r="G299" s="1"/>
      <c r="H299" s="1"/>
      <c r="I299" s="1"/>
      <c r="J299" s="1"/>
      <c r="K299" s="1"/>
      <c r="L299" s="1"/>
      <c r="M299" s="1"/>
      <c r="N299" s="1"/>
      <c r="O299" s="1"/>
      <c r="Q299" s="8">
        <f t="shared" si="45"/>
        <v>0</v>
      </c>
      <c r="S299" s="8">
        <f t="shared" si="46"/>
        <v>0</v>
      </c>
      <c r="T299" s="8">
        <f t="shared" si="47"/>
        <v>0</v>
      </c>
      <c r="U299" s="8">
        <f t="shared" si="48"/>
        <v>0</v>
      </c>
      <c r="V299" s="8">
        <f t="shared" si="49"/>
        <v>0</v>
      </c>
      <c r="W299" s="8">
        <f t="shared" si="50"/>
        <v>0</v>
      </c>
    </row>
    <row r="300" spans="1:23" outlineLevel="1" x14ac:dyDescent="0.3">
      <c r="A300" s="11"/>
      <c r="B300" s="11"/>
      <c r="C300" s="11"/>
      <c r="D300" s="1"/>
      <c r="E300" s="1"/>
      <c r="F300" s="1"/>
      <c r="G300" s="1"/>
      <c r="H300" s="1"/>
      <c r="I300" s="1"/>
      <c r="J300" s="1"/>
      <c r="K300" s="1"/>
      <c r="L300" s="1"/>
      <c r="M300" s="1"/>
      <c r="N300" s="1"/>
      <c r="O300" s="1"/>
      <c r="Q300" s="8">
        <f t="shared" si="45"/>
        <v>0</v>
      </c>
      <c r="S300" s="8">
        <f t="shared" si="46"/>
        <v>0</v>
      </c>
      <c r="T300" s="8">
        <f t="shared" si="47"/>
        <v>0</v>
      </c>
      <c r="U300" s="8">
        <f t="shared" si="48"/>
        <v>0</v>
      </c>
      <c r="V300" s="8">
        <f t="shared" si="49"/>
        <v>0</v>
      </c>
      <c r="W300" s="8">
        <f t="shared" si="50"/>
        <v>0</v>
      </c>
    </row>
    <row r="301" spans="1:23" outlineLevel="1" x14ac:dyDescent="0.3">
      <c r="A301" s="11"/>
      <c r="B301" s="11"/>
      <c r="C301" s="11"/>
      <c r="D301" s="1"/>
      <c r="E301" s="1"/>
      <c r="F301" s="1"/>
      <c r="G301" s="1"/>
      <c r="H301" s="1"/>
      <c r="I301" s="1"/>
      <c r="J301" s="1"/>
      <c r="K301" s="1"/>
      <c r="L301" s="1"/>
      <c r="M301" s="1"/>
      <c r="N301" s="1"/>
      <c r="O301" s="1"/>
      <c r="Q301" s="8">
        <f t="shared" si="45"/>
        <v>0</v>
      </c>
      <c r="S301" s="8">
        <f t="shared" si="46"/>
        <v>0</v>
      </c>
      <c r="T301" s="8">
        <f t="shared" si="47"/>
        <v>0</v>
      </c>
      <c r="U301" s="8">
        <f t="shared" si="48"/>
        <v>0</v>
      </c>
      <c r="V301" s="8">
        <f t="shared" si="49"/>
        <v>0</v>
      </c>
      <c r="W301" s="8">
        <f t="shared" si="50"/>
        <v>0</v>
      </c>
    </row>
    <row r="302" spans="1:23" outlineLevel="1" x14ac:dyDescent="0.3">
      <c r="A302" s="11"/>
      <c r="B302" s="11"/>
      <c r="C302" s="11"/>
      <c r="D302" s="1"/>
      <c r="E302" s="1"/>
      <c r="F302" s="1"/>
      <c r="G302" s="1"/>
      <c r="H302" s="1"/>
      <c r="I302" s="1"/>
      <c r="J302" s="1"/>
      <c r="K302" s="1"/>
      <c r="L302" s="1"/>
      <c r="M302" s="1"/>
      <c r="N302" s="1"/>
      <c r="O302" s="1"/>
      <c r="Q302" s="8">
        <f t="shared" si="45"/>
        <v>0</v>
      </c>
      <c r="S302" s="8">
        <f t="shared" si="46"/>
        <v>0</v>
      </c>
      <c r="T302" s="8">
        <f t="shared" si="47"/>
        <v>0</v>
      </c>
      <c r="U302" s="8">
        <f t="shared" si="48"/>
        <v>0</v>
      </c>
      <c r="V302" s="8">
        <f t="shared" si="49"/>
        <v>0</v>
      </c>
      <c r="W302" s="8">
        <f t="shared" si="50"/>
        <v>0</v>
      </c>
    </row>
    <row r="303" spans="1:23" outlineLevel="1" x14ac:dyDescent="0.3">
      <c r="A303" s="11"/>
      <c r="B303" s="11"/>
      <c r="C303" s="11"/>
      <c r="D303" s="1"/>
      <c r="E303" s="1"/>
      <c r="F303" s="1"/>
      <c r="G303" s="1"/>
      <c r="H303" s="1"/>
      <c r="I303" s="1"/>
      <c r="J303" s="1"/>
      <c r="K303" s="1"/>
      <c r="L303" s="1"/>
      <c r="M303" s="1"/>
      <c r="N303" s="1"/>
      <c r="O303" s="1"/>
      <c r="Q303" s="8">
        <f t="shared" si="45"/>
        <v>0</v>
      </c>
      <c r="S303" s="8">
        <f t="shared" si="46"/>
        <v>0</v>
      </c>
      <c r="T303" s="8">
        <f t="shared" si="47"/>
        <v>0</v>
      </c>
      <c r="U303" s="8">
        <f t="shared" si="48"/>
        <v>0</v>
      </c>
      <c r="V303" s="8">
        <f t="shared" si="49"/>
        <v>0</v>
      </c>
      <c r="W303" s="8">
        <f t="shared" si="50"/>
        <v>0</v>
      </c>
    </row>
    <row r="304" spans="1:23" outlineLevel="1" x14ac:dyDescent="0.3">
      <c r="A304" s="11"/>
      <c r="B304" s="11"/>
      <c r="C304" s="11"/>
      <c r="D304" s="1"/>
      <c r="E304" s="1"/>
      <c r="F304" s="1"/>
      <c r="G304" s="1"/>
      <c r="H304" s="1"/>
      <c r="I304" s="1"/>
      <c r="J304" s="1"/>
      <c r="K304" s="1"/>
      <c r="L304" s="1"/>
      <c r="M304" s="1"/>
      <c r="N304" s="1"/>
      <c r="O304" s="1"/>
      <c r="Q304" s="8">
        <f t="shared" si="45"/>
        <v>0</v>
      </c>
      <c r="S304" s="8">
        <f t="shared" si="46"/>
        <v>0</v>
      </c>
      <c r="T304" s="8">
        <f t="shared" si="47"/>
        <v>0</v>
      </c>
      <c r="U304" s="8">
        <f t="shared" si="48"/>
        <v>0</v>
      </c>
      <c r="V304" s="8">
        <f t="shared" si="49"/>
        <v>0</v>
      </c>
      <c r="W304" s="8">
        <f t="shared" si="50"/>
        <v>0</v>
      </c>
    </row>
    <row r="305" spans="1:23" outlineLevel="1" x14ac:dyDescent="0.3">
      <c r="A305" s="11"/>
      <c r="B305" s="11"/>
      <c r="C305" s="11"/>
      <c r="D305" s="1"/>
      <c r="E305" s="1"/>
      <c r="F305" s="1"/>
      <c r="G305" s="1"/>
      <c r="H305" s="1"/>
      <c r="I305" s="1"/>
      <c r="J305" s="1"/>
      <c r="K305" s="1"/>
      <c r="L305" s="1"/>
      <c r="M305" s="1"/>
      <c r="N305" s="1"/>
      <c r="O305" s="1"/>
      <c r="Q305" s="8">
        <f t="shared" si="45"/>
        <v>0</v>
      </c>
      <c r="S305" s="8">
        <f t="shared" si="46"/>
        <v>0</v>
      </c>
      <c r="T305" s="8">
        <f t="shared" si="47"/>
        <v>0</v>
      </c>
      <c r="U305" s="8">
        <f t="shared" si="48"/>
        <v>0</v>
      </c>
      <c r="V305" s="8">
        <f t="shared" si="49"/>
        <v>0</v>
      </c>
      <c r="W305" s="8">
        <f t="shared" si="50"/>
        <v>0</v>
      </c>
    </row>
    <row r="306" spans="1:23" outlineLevel="1" x14ac:dyDescent="0.3">
      <c r="A306" s="11"/>
      <c r="B306" s="11"/>
      <c r="C306" s="11"/>
      <c r="D306" s="11"/>
      <c r="E306" s="11"/>
      <c r="F306" s="11"/>
      <c r="G306" s="11"/>
      <c r="H306" s="11"/>
      <c r="I306" s="11"/>
      <c r="J306" s="11"/>
      <c r="K306" s="11"/>
      <c r="L306" s="11"/>
      <c r="M306" s="11"/>
      <c r="N306" s="11"/>
      <c r="O306" s="11"/>
      <c r="Q306" s="8">
        <f t="shared" si="45"/>
        <v>0</v>
      </c>
      <c r="S306" s="8">
        <f t="shared" si="46"/>
        <v>0</v>
      </c>
      <c r="T306" s="8">
        <f t="shared" si="47"/>
        <v>0</v>
      </c>
      <c r="U306" s="8">
        <f t="shared" si="48"/>
        <v>0</v>
      </c>
      <c r="V306" s="8">
        <f t="shared" si="49"/>
        <v>0</v>
      </c>
      <c r="W306" s="8">
        <f t="shared" si="50"/>
        <v>0</v>
      </c>
    </row>
    <row r="307" spans="1:23" outlineLevel="1" x14ac:dyDescent="0.3">
      <c r="A307" s="11"/>
      <c r="B307" s="11"/>
      <c r="C307" s="11"/>
      <c r="D307" s="1"/>
      <c r="E307" s="1"/>
      <c r="F307" s="1"/>
      <c r="G307" s="1"/>
      <c r="H307" s="1"/>
      <c r="I307" s="1"/>
      <c r="J307" s="1"/>
      <c r="K307" s="1"/>
      <c r="L307" s="1"/>
      <c r="M307" s="1"/>
      <c r="N307" s="1"/>
      <c r="O307" s="1"/>
      <c r="Q307" s="8">
        <f t="shared" ref="Q307:Q370" si="51">IFERROR(SUM(D307:O307),"")</f>
        <v>0</v>
      </c>
      <c r="S307" s="8">
        <f t="shared" ref="S307:S370" si="52">+SUM(O307)*12</f>
        <v>0</v>
      </c>
      <c r="T307" s="8">
        <f t="shared" ref="T307:T370" si="53">+SUM(M307:O307)*4</f>
        <v>0</v>
      </c>
      <c r="U307" s="8">
        <f t="shared" ref="U307:U370" si="54">+SUM(J307:O307)*2</f>
        <v>0</v>
      </c>
      <c r="V307" s="8">
        <f t="shared" ref="V307:V370" si="55">+SUM(G307:O307)/9*12</f>
        <v>0</v>
      </c>
      <c r="W307" s="8">
        <f t="shared" ref="W307:W370" si="56">+SUM(D307:O307)</f>
        <v>0</v>
      </c>
    </row>
    <row r="308" spans="1:23" outlineLevel="1" x14ac:dyDescent="0.3">
      <c r="A308" s="11"/>
      <c r="B308" s="11"/>
      <c r="C308" s="11"/>
      <c r="D308" s="1"/>
      <c r="E308" s="1"/>
      <c r="F308" s="1"/>
      <c r="G308" s="1"/>
      <c r="H308" s="1"/>
      <c r="I308" s="1"/>
      <c r="J308" s="1"/>
      <c r="K308" s="1"/>
      <c r="L308" s="1"/>
      <c r="M308" s="1"/>
      <c r="N308" s="1"/>
      <c r="O308" s="1"/>
      <c r="Q308" s="8">
        <f t="shared" si="51"/>
        <v>0</v>
      </c>
      <c r="S308" s="8">
        <f t="shared" si="52"/>
        <v>0</v>
      </c>
      <c r="T308" s="8">
        <f t="shared" si="53"/>
        <v>0</v>
      </c>
      <c r="U308" s="8">
        <f t="shared" si="54"/>
        <v>0</v>
      </c>
      <c r="V308" s="8">
        <f t="shared" si="55"/>
        <v>0</v>
      </c>
      <c r="W308" s="8">
        <f t="shared" si="56"/>
        <v>0</v>
      </c>
    </row>
    <row r="309" spans="1:23" outlineLevel="1" x14ac:dyDescent="0.3">
      <c r="A309" s="11"/>
      <c r="B309" s="11"/>
      <c r="C309" s="11"/>
      <c r="D309" s="1"/>
      <c r="E309" s="1"/>
      <c r="F309" s="1"/>
      <c r="G309" s="1"/>
      <c r="H309" s="1"/>
      <c r="I309" s="1"/>
      <c r="J309" s="1"/>
      <c r="K309" s="1"/>
      <c r="L309" s="1"/>
      <c r="M309" s="1"/>
      <c r="N309" s="1"/>
      <c r="O309" s="1"/>
      <c r="Q309" s="8">
        <f t="shared" si="51"/>
        <v>0</v>
      </c>
      <c r="S309" s="8">
        <f t="shared" si="52"/>
        <v>0</v>
      </c>
      <c r="T309" s="8">
        <f t="shared" si="53"/>
        <v>0</v>
      </c>
      <c r="U309" s="8">
        <f t="shared" si="54"/>
        <v>0</v>
      </c>
      <c r="V309" s="8">
        <f t="shared" si="55"/>
        <v>0</v>
      </c>
      <c r="W309" s="8">
        <f t="shared" si="56"/>
        <v>0</v>
      </c>
    </row>
    <row r="310" spans="1:23" outlineLevel="1" x14ac:dyDescent="0.3">
      <c r="A310" s="11"/>
      <c r="B310" s="11"/>
      <c r="C310" s="11"/>
      <c r="D310" s="1"/>
      <c r="E310" s="1"/>
      <c r="F310" s="1"/>
      <c r="G310" s="1"/>
      <c r="H310" s="1"/>
      <c r="I310" s="1"/>
      <c r="J310" s="1"/>
      <c r="K310" s="1"/>
      <c r="L310" s="1"/>
      <c r="M310" s="1"/>
      <c r="N310" s="1"/>
      <c r="O310" s="1"/>
      <c r="Q310" s="8">
        <f t="shared" si="51"/>
        <v>0</v>
      </c>
      <c r="S310" s="8">
        <f t="shared" si="52"/>
        <v>0</v>
      </c>
      <c r="T310" s="8">
        <f t="shared" si="53"/>
        <v>0</v>
      </c>
      <c r="U310" s="8">
        <f t="shared" si="54"/>
        <v>0</v>
      </c>
      <c r="V310" s="8">
        <f t="shared" si="55"/>
        <v>0</v>
      </c>
      <c r="W310" s="8">
        <f t="shared" si="56"/>
        <v>0</v>
      </c>
    </row>
    <row r="311" spans="1:23" outlineLevel="1" x14ac:dyDescent="0.3">
      <c r="A311" s="11"/>
      <c r="B311" s="11"/>
      <c r="C311" s="11"/>
      <c r="D311" s="1"/>
      <c r="E311" s="1"/>
      <c r="F311" s="1"/>
      <c r="G311" s="1"/>
      <c r="H311" s="1"/>
      <c r="I311" s="1"/>
      <c r="J311" s="1"/>
      <c r="K311" s="1"/>
      <c r="L311" s="1"/>
      <c r="M311" s="1"/>
      <c r="N311" s="1"/>
      <c r="O311" s="1"/>
      <c r="Q311" s="8">
        <f t="shared" si="51"/>
        <v>0</v>
      </c>
      <c r="S311" s="8">
        <f t="shared" si="52"/>
        <v>0</v>
      </c>
      <c r="T311" s="8">
        <f t="shared" si="53"/>
        <v>0</v>
      </c>
      <c r="U311" s="8">
        <f t="shared" si="54"/>
        <v>0</v>
      </c>
      <c r="V311" s="8">
        <f t="shared" si="55"/>
        <v>0</v>
      </c>
      <c r="W311" s="8">
        <f t="shared" si="56"/>
        <v>0</v>
      </c>
    </row>
    <row r="312" spans="1:23" outlineLevel="1" x14ac:dyDescent="0.3">
      <c r="A312" s="11"/>
      <c r="B312" s="11"/>
      <c r="C312" s="11"/>
      <c r="D312" s="1"/>
      <c r="E312" s="1"/>
      <c r="F312" s="1"/>
      <c r="G312" s="1"/>
      <c r="H312" s="1"/>
      <c r="I312" s="1"/>
      <c r="J312" s="1"/>
      <c r="K312" s="1"/>
      <c r="L312" s="1"/>
      <c r="M312" s="1"/>
      <c r="N312" s="1"/>
      <c r="O312" s="1"/>
      <c r="Q312" s="8">
        <f t="shared" si="51"/>
        <v>0</v>
      </c>
      <c r="S312" s="8">
        <f t="shared" si="52"/>
        <v>0</v>
      </c>
      <c r="T312" s="8">
        <f t="shared" si="53"/>
        <v>0</v>
      </c>
      <c r="U312" s="8">
        <f t="shared" si="54"/>
        <v>0</v>
      </c>
      <c r="V312" s="8">
        <f t="shared" si="55"/>
        <v>0</v>
      </c>
      <c r="W312" s="8">
        <f t="shared" si="56"/>
        <v>0</v>
      </c>
    </row>
    <row r="313" spans="1:23" outlineLevel="1" x14ac:dyDescent="0.3">
      <c r="A313" s="11"/>
      <c r="B313" s="11"/>
      <c r="C313" s="11"/>
      <c r="D313" s="1"/>
      <c r="E313" s="1"/>
      <c r="F313" s="1"/>
      <c r="G313" s="1"/>
      <c r="H313" s="1"/>
      <c r="I313" s="1"/>
      <c r="J313" s="1"/>
      <c r="K313" s="1"/>
      <c r="L313" s="1"/>
      <c r="M313" s="1"/>
      <c r="N313" s="1"/>
      <c r="O313" s="1"/>
      <c r="Q313" s="8">
        <f t="shared" si="51"/>
        <v>0</v>
      </c>
      <c r="S313" s="8">
        <f t="shared" si="52"/>
        <v>0</v>
      </c>
      <c r="T313" s="8">
        <f t="shared" si="53"/>
        <v>0</v>
      </c>
      <c r="U313" s="8">
        <f t="shared" si="54"/>
        <v>0</v>
      </c>
      <c r="V313" s="8">
        <f t="shared" si="55"/>
        <v>0</v>
      </c>
      <c r="W313" s="8">
        <f t="shared" si="56"/>
        <v>0</v>
      </c>
    </row>
    <row r="314" spans="1:23" outlineLevel="1" x14ac:dyDescent="0.3">
      <c r="A314" s="11"/>
      <c r="B314" s="11"/>
      <c r="C314" s="11"/>
      <c r="D314" s="1"/>
      <c r="E314" s="1"/>
      <c r="F314" s="1"/>
      <c r="G314" s="1"/>
      <c r="H314" s="1"/>
      <c r="I314" s="1"/>
      <c r="J314" s="1"/>
      <c r="K314" s="1"/>
      <c r="L314" s="1"/>
      <c r="M314" s="1"/>
      <c r="N314" s="1"/>
      <c r="O314" s="1"/>
      <c r="Q314" s="8">
        <f t="shared" si="51"/>
        <v>0</v>
      </c>
      <c r="S314" s="8">
        <f t="shared" si="52"/>
        <v>0</v>
      </c>
      <c r="T314" s="8">
        <f t="shared" si="53"/>
        <v>0</v>
      </c>
      <c r="U314" s="8">
        <f t="shared" si="54"/>
        <v>0</v>
      </c>
      <c r="V314" s="8">
        <f t="shared" si="55"/>
        <v>0</v>
      </c>
      <c r="W314" s="8">
        <f t="shared" si="56"/>
        <v>0</v>
      </c>
    </row>
    <row r="315" spans="1:23" outlineLevel="1" x14ac:dyDescent="0.3">
      <c r="A315" s="11"/>
      <c r="B315" s="11"/>
      <c r="C315" s="11"/>
      <c r="D315" s="1"/>
      <c r="E315" s="1"/>
      <c r="F315" s="1"/>
      <c r="G315" s="1"/>
      <c r="H315" s="1"/>
      <c r="I315" s="1"/>
      <c r="J315" s="1"/>
      <c r="K315" s="1"/>
      <c r="L315" s="1"/>
      <c r="M315" s="1"/>
      <c r="N315" s="1"/>
      <c r="O315" s="1"/>
      <c r="Q315" s="8">
        <f t="shared" si="51"/>
        <v>0</v>
      </c>
      <c r="S315" s="8">
        <f t="shared" si="52"/>
        <v>0</v>
      </c>
      <c r="T315" s="8">
        <f t="shared" si="53"/>
        <v>0</v>
      </c>
      <c r="U315" s="8">
        <f t="shared" si="54"/>
        <v>0</v>
      </c>
      <c r="V315" s="8">
        <f t="shared" si="55"/>
        <v>0</v>
      </c>
      <c r="W315" s="8">
        <f t="shared" si="56"/>
        <v>0</v>
      </c>
    </row>
    <row r="316" spans="1:23" outlineLevel="1" x14ac:dyDescent="0.3">
      <c r="A316" s="11"/>
      <c r="B316" s="11"/>
      <c r="C316" s="11"/>
      <c r="D316" s="1"/>
      <c r="E316" s="1"/>
      <c r="F316" s="1"/>
      <c r="G316" s="1"/>
      <c r="H316" s="1"/>
      <c r="I316" s="1"/>
      <c r="J316" s="1"/>
      <c r="K316" s="1"/>
      <c r="L316" s="1"/>
      <c r="M316" s="1"/>
      <c r="N316" s="1"/>
      <c r="O316" s="1"/>
      <c r="Q316" s="8">
        <f t="shared" si="51"/>
        <v>0</v>
      </c>
      <c r="S316" s="8">
        <f t="shared" si="52"/>
        <v>0</v>
      </c>
      <c r="T316" s="8">
        <f t="shared" si="53"/>
        <v>0</v>
      </c>
      <c r="U316" s="8">
        <f t="shared" si="54"/>
        <v>0</v>
      </c>
      <c r="V316" s="8">
        <f t="shared" si="55"/>
        <v>0</v>
      </c>
      <c r="W316" s="8">
        <f t="shared" si="56"/>
        <v>0</v>
      </c>
    </row>
    <row r="317" spans="1:23" outlineLevel="1" x14ac:dyDescent="0.3">
      <c r="A317" s="11"/>
      <c r="B317" s="11"/>
      <c r="C317" s="11"/>
      <c r="D317" s="1"/>
      <c r="E317" s="1"/>
      <c r="F317" s="1"/>
      <c r="G317" s="1"/>
      <c r="H317" s="1"/>
      <c r="I317" s="1"/>
      <c r="J317" s="1"/>
      <c r="K317" s="1"/>
      <c r="L317" s="1"/>
      <c r="M317" s="1"/>
      <c r="N317" s="1"/>
      <c r="O317" s="1"/>
      <c r="Q317" s="8">
        <f t="shared" si="51"/>
        <v>0</v>
      </c>
      <c r="S317" s="8">
        <f t="shared" si="52"/>
        <v>0</v>
      </c>
      <c r="T317" s="8">
        <f t="shared" si="53"/>
        <v>0</v>
      </c>
      <c r="U317" s="8">
        <f t="shared" si="54"/>
        <v>0</v>
      </c>
      <c r="V317" s="8">
        <f t="shared" si="55"/>
        <v>0</v>
      </c>
      <c r="W317" s="8">
        <f t="shared" si="56"/>
        <v>0</v>
      </c>
    </row>
    <row r="318" spans="1:23" outlineLevel="1" x14ac:dyDescent="0.3">
      <c r="A318" s="11"/>
      <c r="B318" s="11"/>
      <c r="C318" s="11"/>
      <c r="D318" s="1"/>
      <c r="E318" s="1"/>
      <c r="F318" s="1"/>
      <c r="G318" s="1"/>
      <c r="H318" s="1"/>
      <c r="I318" s="1"/>
      <c r="J318" s="1"/>
      <c r="K318" s="1"/>
      <c r="L318" s="1"/>
      <c r="M318" s="1"/>
      <c r="N318" s="1"/>
      <c r="O318" s="1"/>
      <c r="Q318" s="8">
        <f t="shared" si="51"/>
        <v>0</v>
      </c>
      <c r="S318" s="8">
        <f t="shared" si="52"/>
        <v>0</v>
      </c>
      <c r="T318" s="8">
        <f t="shared" si="53"/>
        <v>0</v>
      </c>
      <c r="U318" s="8">
        <f t="shared" si="54"/>
        <v>0</v>
      </c>
      <c r="V318" s="8">
        <f t="shared" si="55"/>
        <v>0</v>
      </c>
      <c r="W318" s="8">
        <f t="shared" si="56"/>
        <v>0</v>
      </c>
    </row>
    <row r="319" spans="1:23" outlineLevel="1" x14ac:dyDescent="0.3">
      <c r="A319" s="11"/>
      <c r="B319" s="11"/>
      <c r="C319" s="11"/>
      <c r="D319" s="1"/>
      <c r="E319" s="1"/>
      <c r="F319" s="1"/>
      <c r="G319" s="1"/>
      <c r="H319" s="1"/>
      <c r="I319" s="1"/>
      <c r="J319" s="1"/>
      <c r="K319" s="1"/>
      <c r="L319" s="1"/>
      <c r="M319" s="1"/>
      <c r="N319" s="1"/>
      <c r="O319" s="1"/>
      <c r="Q319" s="8">
        <f t="shared" si="51"/>
        <v>0</v>
      </c>
      <c r="S319" s="8">
        <f t="shared" si="52"/>
        <v>0</v>
      </c>
      <c r="T319" s="8">
        <f t="shared" si="53"/>
        <v>0</v>
      </c>
      <c r="U319" s="8">
        <f t="shared" si="54"/>
        <v>0</v>
      </c>
      <c r="V319" s="8">
        <f t="shared" si="55"/>
        <v>0</v>
      </c>
      <c r="W319" s="8">
        <f t="shared" si="56"/>
        <v>0</v>
      </c>
    </row>
    <row r="320" spans="1:23" outlineLevel="1" x14ac:dyDescent="0.3">
      <c r="A320" s="11"/>
      <c r="B320" s="11"/>
      <c r="C320" s="11"/>
      <c r="D320" s="1"/>
      <c r="E320" s="1"/>
      <c r="F320" s="1"/>
      <c r="G320" s="1"/>
      <c r="H320" s="1"/>
      <c r="I320" s="1"/>
      <c r="J320" s="1"/>
      <c r="K320" s="1"/>
      <c r="L320" s="1"/>
      <c r="M320" s="1"/>
      <c r="N320" s="1"/>
      <c r="O320" s="1"/>
      <c r="Q320" s="8">
        <f t="shared" si="51"/>
        <v>0</v>
      </c>
      <c r="S320" s="8">
        <f t="shared" si="52"/>
        <v>0</v>
      </c>
      <c r="T320" s="8">
        <f t="shared" si="53"/>
        <v>0</v>
      </c>
      <c r="U320" s="8">
        <f t="shared" si="54"/>
        <v>0</v>
      </c>
      <c r="V320" s="8">
        <f t="shared" si="55"/>
        <v>0</v>
      </c>
      <c r="W320" s="8">
        <f t="shared" si="56"/>
        <v>0</v>
      </c>
    </row>
    <row r="321" spans="1:23" outlineLevel="1" x14ac:dyDescent="0.3">
      <c r="A321" s="11"/>
      <c r="B321" s="11"/>
      <c r="C321" s="11"/>
      <c r="D321" s="1"/>
      <c r="E321" s="1"/>
      <c r="F321" s="1"/>
      <c r="G321" s="1"/>
      <c r="H321" s="1"/>
      <c r="I321" s="1"/>
      <c r="J321" s="1"/>
      <c r="K321" s="1"/>
      <c r="L321" s="1"/>
      <c r="M321" s="1"/>
      <c r="N321" s="1"/>
      <c r="O321" s="1"/>
      <c r="Q321" s="8">
        <f t="shared" si="51"/>
        <v>0</v>
      </c>
      <c r="S321" s="8">
        <f t="shared" si="52"/>
        <v>0</v>
      </c>
      <c r="T321" s="8">
        <f t="shared" si="53"/>
        <v>0</v>
      </c>
      <c r="U321" s="8">
        <f t="shared" si="54"/>
        <v>0</v>
      </c>
      <c r="V321" s="8">
        <f t="shared" si="55"/>
        <v>0</v>
      </c>
      <c r="W321" s="8">
        <f t="shared" si="56"/>
        <v>0</v>
      </c>
    </row>
    <row r="322" spans="1:23" outlineLevel="1" x14ac:dyDescent="0.3">
      <c r="A322" s="11"/>
      <c r="B322" s="11"/>
      <c r="C322" s="11"/>
      <c r="D322" s="1"/>
      <c r="E322" s="1"/>
      <c r="F322" s="1"/>
      <c r="G322" s="1"/>
      <c r="H322" s="1"/>
      <c r="I322" s="1"/>
      <c r="J322" s="1"/>
      <c r="K322" s="1"/>
      <c r="L322" s="1"/>
      <c r="M322" s="1"/>
      <c r="N322" s="1"/>
      <c r="O322" s="1"/>
      <c r="Q322" s="8">
        <f t="shared" si="51"/>
        <v>0</v>
      </c>
      <c r="S322" s="8">
        <f t="shared" si="52"/>
        <v>0</v>
      </c>
      <c r="T322" s="8">
        <f t="shared" si="53"/>
        <v>0</v>
      </c>
      <c r="U322" s="8">
        <f t="shared" si="54"/>
        <v>0</v>
      </c>
      <c r="V322" s="8">
        <f t="shared" si="55"/>
        <v>0</v>
      </c>
      <c r="W322" s="8">
        <f t="shared" si="56"/>
        <v>0</v>
      </c>
    </row>
    <row r="323" spans="1:23" outlineLevel="1" x14ac:dyDescent="0.3">
      <c r="A323" s="11"/>
      <c r="B323" s="11"/>
      <c r="C323" s="11"/>
      <c r="D323" s="1"/>
      <c r="E323" s="1"/>
      <c r="F323" s="1"/>
      <c r="G323" s="1"/>
      <c r="H323" s="1"/>
      <c r="I323" s="1"/>
      <c r="J323" s="1"/>
      <c r="K323" s="1"/>
      <c r="L323" s="1"/>
      <c r="M323" s="1"/>
      <c r="N323" s="1"/>
      <c r="O323" s="1"/>
      <c r="Q323" s="8">
        <f t="shared" si="51"/>
        <v>0</v>
      </c>
      <c r="S323" s="8">
        <f t="shared" si="52"/>
        <v>0</v>
      </c>
      <c r="T323" s="8">
        <f t="shared" si="53"/>
        <v>0</v>
      </c>
      <c r="U323" s="8">
        <f t="shared" si="54"/>
        <v>0</v>
      </c>
      <c r="V323" s="8">
        <f t="shared" si="55"/>
        <v>0</v>
      </c>
      <c r="W323" s="8">
        <f t="shared" si="56"/>
        <v>0</v>
      </c>
    </row>
    <row r="324" spans="1:23" outlineLevel="1" x14ac:dyDescent="0.3">
      <c r="A324" s="11"/>
      <c r="B324" s="11"/>
      <c r="C324" s="11"/>
      <c r="D324" s="1"/>
      <c r="E324" s="1"/>
      <c r="F324" s="1"/>
      <c r="G324" s="1"/>
      <c r="H324" s="1"/>
      <c r="I324" s="1"/>
      <c r="J324" s="1"/>
      <c r="K324" s="1"/>
      <c r="L324" s="1"/>
      <c r="M324" s="1"/>
      <c r="N324" s="1"/>
      <c r="O324" s="1"/>
      <c r="Q324" s="8">
        <f t="shared" si="51"/>
        <v>0</v>
      </c>
      <c r="S324" s="8">
        <f t="shared" si="52"/>
        <v>0</v>
      </c>
      <c r="T324" s="8">
        <f t="shared" si="53"/>
        <v>0</v>
      </c>
      <c r="U324" s="8">
        <f t="shared" si="54"/>
        <v>0</v>
      </c>
      <c r="V324" s="8">
        <f t="shared" si="55"/>
        <v>0</v>
      </c>
      <c r="W324" s="8">
        <f t="shared" si="56"/>
        <v>0</v>
      </c>
    </row>
    <row r="325" spans="1:23" outlineLevel="1" x14ac:dyDescent="0.3">
      <c r="A325" s="11"/>
      <c r="B325" s="11"/>
      <c r="C325" s="11"/>
      <c r="D325" s="1"/>
      <c r="E325" s="1"/>
      <c r="F325" s="1"/>
      <c r="G325" s="1"/>
      <c r="H325" s="1"/>
      <c r="I325" s="1"/>
      <c r="J325" s="1"/>
      <c r="K325" s="1"/>
      <c r="L325" s="1"/>
      <c r="M325" s="1"/>
      <c r="N325" s="1"/>
      <c r="O325" s="1"/>
      <c r="Q325" s="8">
        <f t="shared" si="51"/>
        <v>0</v>
      </c>
      <c r="S325" s="8">
        <f t="shared" si="52"/>
        <v>0</v>
      </c>
      <c r="T325" s="8">
        <f t="shared" si="53"/>
        <v>0</v>
      </c>
      <c r="U325" s="8">
        <f t="shared" si="54"/>
        <v>0</v>
      </c>
      <c r="V325" s="8">
        <f t="shared" si="55"/>
        <v>0</v>
      </c>
      <c r="W325" s="8">
        <f t="shared" si="56"/>
        <v>0</v>
      </c>
    </row>
    <row r="326" spans="1:23" outlineLevel="1" x14ac:dyDescent="0.3">
      <c r="A326" s="11"/>
      <c r="B326" s="11"/>
      <c r="C326" s="11"/>
      <c r="D326" s="1"/>
      <c r="E326" s="1"/>
      <c r="F326" s="1"/>
      <c r="G326" s="1"/>
      <c r="H326" s="1"/>
      <c r="I326" s="1"/>
      <c r="J326" s="1"/>
      <c r="K326" s="1"/>
      <c r="L326" s="1"/>
      <c r="M326" s="1"/>
      <c r="N326" s="1"/>
      <c r="O326" s="1"/>
      <c r="Q326" s="8">
        <f t="shared" si="51"/>
        <v>0</v>
      </c>
      <c r="S326" s="8">
        <f t="shared" si="52"/>
        <v>0</v>
      </c>
      <c r="T326" s="8">
        <f t="shared" si="53"/>
        <v>0</v>
      </c>
      <c r="U326" s="8">
        <f t="shared" si="54"/>
        <v>0</v>
      </c>
      <c r="V326" s="8">
        <f t="shared" si="55"/>
        <v>0</v>
      </c>
      <c r="W326" s="8">
        <f t="shared" si="56"/>
        <v>0</v>
      </c>
    </row>
    <row r="327" spans="1:23" outlineLevel="1" x14ac:dyDescent="0.3">
      <c r="A327" s="11"/>
      <c r="B327" s="11"/>
      <c r="C327" s="11"/>
      <c r="D327" s="1"/>
      <c r="E327" s="1"/>
      <c r="F327" s="1"/>
      <c r="G327" s="1"/>
      <c r="H327" s="1"/>
      <c r="I327" s="1"/>
      <c r="J327" s="1"/>
      <c r="K327" s="1"/>
      <c r="L327" s="1"/>
      <c r="M327" s="1"/>
      <c r="N327" s="1"/>
      <c r="O327" s="1"/>
      <c r="Q327" s="8">
        <f t="shared" si="51"/>
        <v>0</v>
      </c>
      <c r="S327" s="8">
        <f t="shared" si="52"/>
        <v>0</v>
      </c>
      <c r="T327" s="8">
        <f t="shared" si="53"/>
        <v>0</v>
      </c>
      <c r="U327" s="8">
        <f t="shared" si="54"/>
        <v>0</v>
      </c>
      <c r="V327" s="8">
        <f t="shared" si="55"/>
        <v>0</v>
      </c>
      <c r="W327" s="8">
        <f t="shared" si="56"/>
        <v>0</v>
      </c>
    </row>
    <row r="328" spans="1:23" outlineLevel="1" x14ac:dyDescent="0.3">
      <c r="A328" s="11"/>
      <c r="B328" s="11"/>
      <c r="C328" s="11"/>
      <c r="D328" s="1"/>
      <c r="E328" s="1"/>
      <c r="F328" s="1"/>
      <c r="G328" s="1"/>
      <c r="H328" s="1"/>
      <c r="I328" s="1"/>
      <c r="J328" s="1"/>
      <c r="K328" s="1"/>
      <c r="L328" s="1"/>
      <c r="M328" s="1"/>
      <c r="N328" s="1"/>
      <c r="O328" s="1"/>
      <c r="Q328" s="8">
        <f t="shared" si="51"/>
        <v>0</v>
      </c>
      <c r="S328" s="8">
        <f t="shared" si="52"/>
        <v>0</v>
      </c>
      <c r="T328" s="8">
        <f t="shared" si="53"/>
        <v>0</v>
      </c>
      <c r="U328" s="8">
        <f t="shared" si="54"/>
        <v>0</v>
      </c>
      <c r="V328" s="8">
        <f t="shared" si="55"/>
        <v>0</v>
      </c>
      <c r="W328" s="8">
        <f t="shared" si="56"/>
        <v>0</v>
      </c>
    </row>
    <row r="329" spans="1:23" outlineLevel="1" x14ac:dyDescent="0.3">
      <c r="A329" s="11"/>
      <c r="B329" s="11"/>
      <c r="C329" s="11"/>
      <c r="D329" s="1"/>
      <c r="E329" s="1"/>
      <c r="F329" s="1"/>
      <c r="G329" s="1"/>
      <c r="H329" s="1"/>
      <c r="I329" s="1"/>
      <c r="J329" s="1"/>
      <c r="K329" s="1"/>
      <c r="L329" s="1"/>
      <c r="M329" s="1"/>
      <c r="N329" s="1"/>
      <c r="O329" s="1"/>
      <c r="Q329" s="8">
        <f t="shared" si="51"/>
        <v>0</v>
      </c>
      <c r="S329" s="8">
        <f t="shared" si="52"/>
        <v>0</v>
      </c>
      <c r="T329" s="8">
        <f t="shared" si="53"/>
        <v>0</v>
      </c>
      <c r="U329" s="8">
        <f t="shared" si="54"/>
        <v>0</v>
      </c>
      <c r="V329" s="8">
        <f t="shared" si="55"/>
        <v>0</v>
      </c>
      <c r="W329" s="8">
        <f t="shared" si="56"/>
        <v>0</v>
      </c>
    </row>
    <row r="330" spans="1:23" outlineLevel="1" x14ac:dyDescent="0.3">
      <c r="A330" s="11"/>
      <c r="B330" s="11"/>
      <c r="C330" s="11"/>
      <c r="D330" s="1"/>
      <c r="E330" s="1"/>
      <c r="F330" s="1"/>
      <c r="G330" s="1"/>
      <c r="H330" s="1"/>
      <c r="I330" s="1"/>
      <c r="J330" s="1"/>
      <c r="K330" s="1"/>
      <c r="L330" s="1"/>
      <c r="M330" s="1"/>
      <c r="N330" s="1"/>
      <c r="O330" s="1"/>
      <c r="Q330" s="8">
        <f t="shared" si="51"/>
        <v>0</v>
      </c>
      <c r="S330" s="8">
        <f t="shared" si="52"/>
        <v>0</v>
      </c>
      <c r="T330" s="8">
        <f t="shared" si="53"/>
        <v>0</v>
      </c>
      <c r="U330" s="8">
        <f t="shared" si="54"/>
        <v>0</v>
      </c>
      <c r="V330" s="8">
        <f t="shared" si="55"/>
        <v>0</v>
      </c>
      <c r="W330" s="8">
        <f t="shared" si="56"/>
        <v>0</v>
      </c>
    </row>
    <row r="331" spans="1:23" outlineLevel="1" x14ac:dyDescent="0.3">
      <c r="A331" s="11"/>
      <c r="B331" s="11"/>
      <c r="C331" s="11"/>
      <c r="D331" s="1"/>
      <c r="E331" s="1"/>
      <c r="F331" s="1"/>
      <c r="G331" s="1"/>
      <c r="H331" s="1"/>
      <c r="I331" s="1"/>
      <c r="J331" s="1"/>
      <c r="K331" s="1"/>
      <c r="L331" s="1"/>
      <c r="M331" s="1"/>
      <c r="N331" s="1"/>
      <c r="O331" s="1"/>
      <c r="Q331" s="8">
        <f t="shared" si="51"/>
        <v>0</v>
      </c>
      <c r="S331" s="8">
        <f t="shared" si="52"/>
        <v>0</v>
      </c>
      <c r="T331" s="8">
        <f t="shared" si="53"/>
        <v>0</v>
      </c>
      <c r="U331" s="8">
        <f t="shared" si="54"/>
        <v>0</v>
      </c>
      <c r="V331" s="8">
        <f t="shared" si="55"/>
        <v>0</v>
      </c>
      <c r="W331" s="8">
        <f t="shared" si="56"/>
        <v>0</v>
      </c>
    </row>
    <row r="332" spans="1:23" outlineLevel="1" x14ac:dyDescent="0.3">
      <c r="A332" s="11"/>
      <c r="B332" s="11"/>
      <c r="C332" s="11"/>
      <c r="D332" s="1"/>
      <c r="E332" s="1"/>
      <c r="F332" s="1"/>
      <c r="G332" s="1"/>
      <c r="H332" s="1"/>
      <c r="I332" s="1"/>
      <c r="J332" s="1"/>
      <c r="K332" s="1"/>
      <c r="L332" s="1"/>
      <c r="M332" s="1"/>
      <c r="N332" s="1"/>
      <c r="O332" s="1"/>
      <c r="Q332" s="8">
        <f t="shared" si="51"/>
        <v>0</v>
      </c>
      <c r="S332" s="8">
        <f t="shared" si="52"/>
        <v>0</v>
      </c>
      <c r="T332" s="8">
        <f t="shared" si="53"/>
        <v>0</v>
      </c>
      <c r="U332" s="8">
        <f t="shared" si="54"/>
        <v>0</v>
      </c>
      <c r="V332" s="8">
        <f t="shared" si="55"/>
        <v>0</v>
      </c>
      <c r="W332" s="8">
        <f t="shared" si="56"/>
        <v>0</v>
      </c>
    </row>
    <row r="333" spans="1:23" outlineLevel="1" x14ac:dyDescent="0.3">
      <c r="A333" s="11"/>
      <c r="B333" s="11"/>
      <c r="C333" s="11"/>
      <c r="D333" s="1"/>
      <c r="E333" s="1"/>
      <c r="F333" s="1"/>
      <c r="G333" s="1"/>
      <c r="H333" s="1"/>
      <c r="I333" s="1"/>
      <c r="J333" s="1"/>
      <c r="K333" s="1"/>
      <c r="L333" s="1"/>
      <c r="M333" s="1"/>
      <c r="N333" s="1"/>
      <c r="O333" s="1"/>
      <c r="Q333" s="8">
        <f t="shared" si="51"/>
        <v>0</v>
      </c>
      <c r="S333" s="8">
        <f t="shared" si="52"/>
        <v>0</v>
      </c>
      <c r="T333" s="8">
        <f t="shared" si="53"/>
        <v>0</v>
      </c>
      <c r="U333" s="8">
        <f t="shared" si="54"/>
        <v>0</v>
      </c>
      <c r="V333" s="8">
        <f t="shared" si="55"/>
        <v>0</v>
      </c>
      <c r="W333" s="8">
        <f t="shared" si="56"/>
        <v>0</v>
      </c>
    </row>
    <row r="334" spans="1:23" outlineLevel="1" x14ac:dyDescent="0.3">
      <c r="A334" s="11"/>
      <c r="B334" s="11"/>
      <c r="C334" s="11"/>
      <c r="D334" s="1"/>
      <c r="E334" s="1"/>
      <c r="F334" s="1"/>
      <c r="G334" s="1"/>
      <c r="H334" s="1"/>
      <c r="I334" s="1"/>
      <c r="J334" s="1"/>
      <c r="K334" s="1"/>
      <c r="L334" s="1"/>
      <c r="M334" s="1"/>
      <c r="N334" s="1"/>
      <c r="O334" s="1"/>
      <c r="Q334" s="8">
        <f t="shared" si="51"/>
        <v>0</v>
      </c>
      <c r="S334" s="8">
        <f t="shared" si="52"/>
        <v>0</v>
      </c>
      <c r="T334" s="8">
        <f t="shared" si="53"/>
        <v>0</v>
      </c>
      <c r="U334" s="8">
        <f t="shared" si="54"/>
        <v>0</v>
      </c>
      <c r="V334" s="8">
        <f t="shared" si="55"/>
        <v>0</v>
      </c>
      <c r="W334" s="8">
        <f t="shared" si="56"/>
        <v>0</v>
      </c>
    </row>
    <row r="335" spans="1:23" outlineLevel="1" x14ac:dyDescent="0.3">
      <c r="A335" s="11"/>
      <c r="B335" s="11"/>
      <c r="C335" s="11"/>
      <c r="D335" s="1"/>
      <c r="E335" s="1"/>
      <c r="F335" s="1"/>
      <c r="G335" s="1"/>
      <c r="H335" s="1"/>
      <c r="I335" s="1"/>
      <c r="J335" s="1"/>
      <c r="K335" s="1"/>
      <c r="L335" s="1"/>
      <c r="M335" s="1"/>
      <c r="N335" s="1"/>
      <c r="O335" s="1"/>
      <c r="Q335" s="8">
        <f t="shared" si="51"/>
        <v>0</v>
      </c>
      <c r="S335" s="8">
        <f t="shared" si="52"/>
        <v>0</v>
      </c>
      <c r="T335" s="8">
        <f t="shared" si="53"/>
        <v>0</v>
      </c>
      <c r="U335" s="8">
        <f t="shared" si="54"/>
        <v>0</v>
      </c>
      <c r="V335" s="8">
        <f t="shared" si="55"/>
        <v>0</v>
      </c>
      <c r="W335" s="8">
        <f t="shared" si="56"/>
        <v>0</v>
      </c>
    </row>
    <row r="336" spans="1:23" outlineLevel="1" x14ac:dyDescent="0.3">
      <c r="A336" s="11"/>
      <c r="B336" s="11"/>
      <c r="C336" s="11"/>
      <c r="D336" s="1"/>
      <c r="E336" s="1"/>
      <c r="F336" s="1"/>
      <c r="G336" s="1"/>
      <c r="H336" s="1"/>
      <c r="I336" s="1"/>
      <c r="J336" s="1"/>
      <c r="K336" s="1"/>
      <c r="L336" s="1"/>
      <c r="M336" s="1"/>
      <c r="N336" s="1"/>
      <c r="O336" s="1"/>
      <c r="Q336" s="8">
        <f t="shared" si="51"/>
        <v>0</v>
      </c>
      <c r="S336" s="8">
        <f t="shared" si="52"/>
        <v>0</v>
      </c>
      <c r="T336" s="8">
        <f t="shared" si="53"/>
        <v>0</v>
      </c>
      <c r="U336" s="8">
        <f t="shared" si="54"/>
        <v>0</v>
      </c>
      <c r="V336" s="8">
        <f t="shared" si="55"/>
        <v>0</v>
      </c>
      <c r="W336" s="8">
        <f t="shared" si="56"/>
        <v>0</v>
      </c>
    </row>
    <row r="337" spans="1:23" outlineLevel="1" x14ac:dyDescent="0.3">
      <c r="A337" s="11"/>
      <c r="B337" s="11"/>
      <c r="C337" s="11"/>
      <c r="D337" s="1"/>
      <c r="E337" s="1"/>
      <c r="F337" s="1"/>
      <c r="G337" s="1"/>
      <c r="H337" s="1"/>
      <c r="I337" s="1"/>
      <c r="J337" s="1"/>
      <c r="K337" s="1"/>
      <c r="L337" s="1"/>
      <c r="M337" s="1"/>
      <c r="N337" s="1"/>
      <c r="O337" s="1"/>
      <c r="Q337" s="8">
        <f t="shared" si="51"/>
        <v>0</v>
      </c>
      <c r="S337" s="8">
        <f t="shared" si="52"/>
        <v>0</v>
      </c>
      <c r="T337" s="8">
        <f t="shared" si="53"/>
        <v>0</v>
      </c>
      <c r="U337" s="8">
        <f t="shared" si="54"/>
        <v>0</v>
      </c>
      <c r="V337" s="8">
        <f t="shared" si="55"/>
        <v>0</v>
      </c>
      <c r="W337" s="8">
        <f t="shared" si="56"/>
        <v>0</v>
      </c>
    </row>
    <row r="338" spans="1:23" outlineLevel="1" x14ac:dyDescent="0.3">
      <c r="A338" s="11"/>
      <c r="B338" s="11"/>
      <c r="C338" s="11"/>
      <c r="D338" s="1"/>
      <c r="E338" s="1"/>
      <c r="F338" s="1"/>
      <c r="G338" s="1"/>
      <c r="H338" s="1"/>
      <c r="I338" s="1"/>
      <c r="J338" s="1"/>
      <c r="K338" s="1"/>
      <c r="L338" s="1"/>
      <c r="M338" s="1"/>
      <c r="N338" s="1"/>
      <c r="O338" s="1"/>
      <c r="Q338" s="8">
        <f t="shared" si="51"/>
        <v>0</v>
      </c>
      <c r="S338" s="8">
        <f t="shared" si="52"/>
        <v>0</v>
      </c>
      <c r="T338" s="8">
        <f t="shared" si="53"/>
        <v>0</v>
      </c>
      <c r="U338" s="8">
        <f t="shared" si="54"/>
        <v>0</v>
      </c>
      <c r="V338" s="8">
        <f t="shared" si="55"/>
        <v>0</v>
      </c>
      <c r="W338" s="8">
        <f t="shared" si="56"/>
        <v>0</v>
      </c>
    </row>
    <row r="339" spans="1:23" outlineLevel="1" x14ac:dyDescent="0.3">
      <c r="A339" s="11"/>
      <c r="B339" s="11"/>
      <c r="C339" s="11"/>
      <c r="D339" s="1"/>
      <c r="E339" s="1"/>
      <c r="F339" s="1"/>
      <c r="G339" s="1"/>
      <c r="H339" s="1"/>
      <c r="I339" s="1"/>
      <c r="J339" s="1"/>
      <c r="K339" s="1"/>
      <c r="L339" s="1"/>
      <c r="M339" s="1"/>
      <c r="N339" s="1"/>
      <c r="O339" s="1"/>
      <c r="Q339" s="8">
        <f t="shared" si="51"/>
        <v>0</v>
      </c>
      <c r="S339" s="8">
        <f t="shared" si="52"/>
        <v>0</v>
      </c>
      <c r="T339" s="8">
        <f t="shared" si="53"/>
        <v>0</v>
      </c>
      <c r="U339" s="8">
        <f t="shared" si="54"/>
        <v>0</v>
      </c>
      <c r="V339" s="8">
        <f t="shared" si="55"/>
        <v>0</v>
      </c>
      <c r="W339" s="8">
        <f t="shared" si="56"/>
        <v>0</v>
      </c>
    </row>
    <row r="340" spans="1:23" outlineLevel="1" x14ac:dyDescent="0.3">
      <c r="A340" s="11"/>
      <c r="B340" s="11"/>
      <c r="C340" s="11"/>
      <c r="D340" s="1"/>
      <c r="E340" s="1"/>
      <c r="F340" s="1"/>
      <c r="G340" s="1"/>
      <c r="H340" s="1"/>
      <c r="I340" s="1"/>
      <c r="J340" s="1"/>
      <c r="K340" s="1"/>
      <c r="L340" s="1"/>
      <c r="M340" s="1"/>
      <c r="N340" s="1"/>
      <c r="O340" s="1"/>
      <c r="Q340" s="8">
        <f t="shared" si="51"/>
        <v>0</v>
      </c>
      <c r="S340" s="8">
        <f t="shared" si="52"/>
        <v>0</v>
      </c>
      <c r="T340" s="8">
        <f t="shared" si="53"/>
        <v>0</v>
      </c>
      <c r="U340" s="8">
        <f t="shared" si="54"/>
        <v>0</v>
      </c>
      <c r="V340" s="8">
        <f t="shared" si="55"/>
        <v>0</v>
      </c>
      <c r="W340" s="8">
        <f t="shared" si="56"/>
        <v>0</v>
      </c>
    </row>
    <row r="341" spans="1:23" outlineLevel="1" x14ac:dyDescent="0.3">
      <c r="A341" s="11"/>
      <c r="B341" s="11"/>
      <c r="C341" s="11"/>
      <c r="D341" s="1"/>
      <c r="E341" s="1"/>
      <c r="F341" s="1"/>
      <c r="G341" s="1"/>
      <c r="H341" s="1"/>
      <c r="I341" s="1"/>
      <c r="J341" s="1"/>
      <c r="K341" s="1"/>
      <c r="L341" s="1"/>
      <c r="M341" s="1"/>
      <c r="N341" s="1"/>
      <c r="O341" s="1"/>
      <c r="Q341" s="8">
        <f t="shared" si="51"/>
        <v>0</v>
      </c>
      <c r="S341" s="8">
        <f t="shared" si="52"/>
        <v>0</v>
      </c>
      <c r="T341" s="8">
        <f t="shared" si="53"/>
        <v>0</v>
      </c>
      <c r="U341" s="8">
        <f t="shared" si="54"/>
        <v>0</v>
      </c>
      <c r="V341" s="8">
        <f t="shared" si="55"/>
        <v>0</v>
      </c>
      <c r="W341" s="8">
        <f t="shared" si="56"/>
        <v>0</v>
      </c>
    </row>
    <row r="342" spans="1:23" outlineLevel="1" x14ac:dyDescent="0.3">
      <c r="A342" s="11"/>
      <c r="B342" s="11"/>
      <c r="C342" s="11"/>
      <c r="D342" s="1"/>
      <c r="E342" s="1"/>
      <c r="F342" s="1"/>
      <c r="G342" s="1"/>
      <c r="H342" s="1"/>
      <c r="I342" s="1"/>
      <c r="J342" s="1"/>
      <c r="K342" s="1"/>
      <c r="L342" s="1"/>
      <c r="M342" s="1"/>
      <c r="N342" s="1"/>
      <c r="O342" s="1"/>
      <c r="Q342" s="8">
        <f t="shared" si="51"/>
        <v>0</v>
      </c>
      <c r="S342" s="8">
        <f t="shared" si="52"/>
        <v>0</v>
      </c>
      <c r="T342" s="8">
        <f t="shared" si="53"/>
        <v>0</v>
      </c>
      <c r="U342" s="8">
        <f t="shared" si="54"/>
        <v>0</v>
      </c>
      <c r="V342" s="8">
        <f t="shared" si="55"/>
        <v>0</v>
      </c>
      <c r="W342" s="8">
        <f t="shared" si="56"/>
        <v>0</v>
      </c>
    </row>
    <row r="343" spans="1:23" outlineLevel="1" x14ac:dyDescent="0.3">
      <c r="A343" s="11"/>
      <c r="B343" s="11"/>
      <c r="C343" s="11"/>
      <c r="D343" s="1"/>
      <c r="E343" s="1"/>
      <c r="F343" s="1"/>
      <c r="G343" s="1"/>
      <c r="H343" s="1"/>
      <c r="I343" s="1"/>
      <c r="J343" s="1"/>
      <c r="K343" s="1"/>
      <c r="L343" s="1"/>
      <c r="M343" s="1"/>
      <c r="N343" s="1"/>
      <c r="O343" s="1"/>
      <c r="Q343" s="8">
        <f t="shared" si="51"/>
        <v>0</v>
      </c>
      <c r="S343" s="8">
        <f t="shared" si="52"/>
        <v>0</v>
      </c>
      <c r="T343" s="8">
        <f t="shared" si="53"/>
        <v>0</v>
      </c>
      <c r="U343" s="8">
        <f t="shared" si="54"/>
        <v>0</v>
      </c>
      <c r="V343" s="8">
        <f t="shared" si="55"/>
        <v>0</v>
      </c>
      <c r="W343" s="8">
        <f t="shared" si="56"/>
        <v>0</v>
      </c>
    </row>
    <row r="344" spans="1:23" outlineLevel="1" x14ac:dyDescent="0.3">
      <c r="A344" s="11"/>
      <c r="B344" s="11"/>
      <c r="C344" s="11"/>
      <c r="D344" s="1"/>
      <c r="E344" s="1"/>
      <c r="F344" s="1"/>
      <c r="G344" s="1"/>
      <c r="H344" s="1"/>
      <c r="I344" s="1"/>
      <c r="J344" s="1"/>
      <c r="K344" s="1"/>
      <c r="L344" s="1"/>
      <c r="M344" s="1"/>
      <c r="N344" s="1"/>
      <c r="O344" s="1"/>
      <c r="Q344" s="8">
        <f t="shared" si="51"/>
        <v>0</v>
      </c>
      <c r="S344" s="8">
        <f t="shared" si="52"/>
        <v>0</v>
      </c>
      <c r="T344" s="8">
        <f t="shared" si="53"/>
        <v>0</v>
      </c>
      <c r="U344" s="8">
        <f t="shared" si="54"/>
        <v>0</v>
      </c>
      <c r="V344" s="8">
        <f t="shared" si="55"/>
        <v>0</v>
      </c>
      <c r="W344" s="8">
        <f t="shared" si="56"/>
        <v>0</v>
      </c>
    </row>
    <row r="345" spans="1:23" outlineLevel="1" x14ac:dyDescent="0.3">
      <c r="A345" s="11"/>
      <c r="B345" s="11"/>
      <c r="C345" s="11"/>
      <c r="D345" s="1"/>
      <c r="E345" s="1"/>
      <c r="F345" s="1"/>
      <c r="G345" s="1"/>
      <c r="H345" s="1"/>
      <c r="I345" s="1"/>
      <c r="J345" s="1"/>
      <c r="K345" s="1"/>
      <c r="L345" s="1"/>
      <c r="M345" s="1"/>
      <c r="N345" s="1"/>
      <c r="O345" s="1"/>
      <c r="Q345" s="8">
        <f t="shared" si="51"/>
        <v>0</v>
      </c>
      <c r="S345" s="8">
        <f t="shared" si="52"/>
        <v>0</v>
      </c>
      <c r="T345" s="8">
        <f t="shared" si="53"/>
        <v>0</v>
      </c>
      <c r="U345" s="8">
        <f t="shared" si="54"/>
        <v>0</v>
      </c>
      <c r="V345" s="8">
        <f t="shared" si="55"/>
        <v>0</v>
      </c>
      <c r="W345" s="8">
        <f t="shared" si="56"/>
        <v>0</v>
      </c>
    </row>
    <row r="346" spans="1:23" outlineLevel="1" x14ac:dyDescent="0.3">
      <c r="A346" s="11"/>
      <c r="B346" s="11"/>
      <c r="C346" s="11"/>
      <c r="D346" s="1"/>
      <c r="E346" s="1"/>
      <c r="F346" s="1"/>
      <c r="G346" s="1"/>
      <c r="H346" s="1"/>
      <c r="I346" s="1"/>
      <c r="J346" s="1"/>
      <c r="K346" s="1"/>
      <c r="L346" s="1"/>
      <c r="M346" s="1"/>
      <c r="N346" s="1"/>
      <c r="O346" s="1"/>
      <c r="Q346" s="8">
        <f t="shared" si="51"/>
        <v>0</v>
      </c>
      <c r="S346" s="8">
        <f t="shared" si="52"/>
        <v>0</v>
      </c>
      <c r="T346" s="8">
        <f t="shared" si="53"/>
        <v>0</v>
      </c>
      <c r="U346" s="8">
        <f t="shared" si="54"/>
        <v>0</v>
      </c>
      <c r="V346" s="8">
        <f t="shared" si="55"/>
        <v>0</v>
      </c>
      <c r="W346" s="8">
        <f t="shared" si="56"/>
        <v>0</v>
      </c>
    </row>
    <row r="347" spans="1:23" outlineLevel="1" x14ac:dyDescent="0.3">
      <c r="A347" s="11"/>
      <c r="B347" s="11"/>
      <c r="C347" s="11"/>
      <c r="D347" s="1"/>
      <c r="E347" s="1"/>
      <c r="F347" s="1"/>
      <c r="G347" s="1"/>
      <c r="H347" s="1"/>
      <c r="I347" s="1"/>
      <c r="J347" s="1"/>
      <c r="K347" s="1"/>
      <c r="L347" s="1"/>
      <c r="M347" s="1"/>
      <c r="N347" s="1"/>
      <c r="O347" s="1"/>
      <c r="Q347" s="8">
        <f t="shared" si="51"/>
        <v>0</v>
      </c>
      <c r="S347" s="8">
        <f t="shared" si="52"/>
        <v>0</v>
      </c>
      <c r="T347" s="8">
        <f t="shared" si="53"/>
        <v>0</v>
      </c>
      <c r="U347" s="8">
        <f t="shared" si="54"/>
        <v>0</v>
      </c>
      <c r="V347" s="8">
        <f t="shared" si="55"/>
        <v>0</v>
      </c>
      <c r="W347" s="8">
        <f t="shared" si="56"/>
        <v>0</v>
      </c>
    </row>
    <row r="348" spans="1:23" outlineLevel="1" x14ac:dyDescent="0.3">
      <c r="A348" s="11"/>
      <c r="B348" s="11"/>
      <c r="C348" s="11"/>
      <c r="D348" s="1"/>
      <c r="E348" s="1"/>
      <c r="F348" s="1"/>
      <c r="G348" s="1"/>
      <c r="H348" s="1"/>
      <c r="I348" s="1"/>
      <c r="J348" s="1"/>
      <c r="K348" s="1"/>
      <c r="L348" s="1"/>
      <c r="M348" s="1"/>
      <c r="N348" s="1"/>
      <c r="O348" s="1"/>
      <c r="Q348" s="8">
        <f t="shared" si="51"/>
        <v>0</v>
      </c>
      <c r="S348" s="8">
        <f t="shared" si="52"/>
        <v>0</v>
      </c>
      <c r="T348" s="8">
        <f t="shared" si="53"/>
        <v>0</v>
      </c>
      <c r="U348" s="8">
        <f t="shared" si="54"/>
        <v>0</v>
      </c>
      <c r="V348" s="8">
        <f t="shared" si="55"/>
        <v>0</v>
      </c>
      <c r="W348" s="8">
        <f t="shared" si="56"/>
        <v>0</v>
      </c>
    </row>
    <row r="349" spans="1:23" outlineLevel="1" x14ac:dyDescent="0.3">
      <c r="A349" s="11"/>
      <c r="B349" s="11"/>
      <c r="C349" s="11"/>
      <c r="D349" s="1"/>
      <c r="E349" s="1"/>
      <c r="F349" s="1"/>
      <c r="G349" s="1"/>
      <c r="H349" s="1"/>
      <c r="I349" s="1"/>
      <c r="J349" s="1"/>
      <c r="K349" s="1"/>
      <c r="L349" s="1"/>
      <c r="M349" s="1"/>
      <c r="N349" s="1"/>
      <c r="O349" s="1"/>
      <c r="Q349" s="8">
        <f t="shared" si="51"/>
        <v>0</v>
      </c>
      <c r="S349" s="8">
        <f t="shared" si="52"/>
        <v>0</v>
      </c>
      <c r="T349" s="8">
        <f t="shared" si="53"/>
        <v>0</v>
      </c>
      <c r="U349" s="8">
        <f t="shared" si="54"/>
        <v>0</v>
      </c>
      <c r="V349" s="8">
        <f t="shared" si="55"/>
        <v>0</v>
      </c>
      <c r="W349" s="8">
        <f t="shared" si="56"/>
        <v>0</v>
      </c>
    </row>
    <row r="350" spans="1:23" outlineLevel="1" x14ac:dyDescent="0.3">
      <c r="A350" s="11"/>
      <c r="B350" s="11"/>
      <c r="C350" s="11"/>
      <c r="D350" s="1"/>
      <c r="E350" s="1"/>
      <c r="F350" s="1"/>
      <c r="G350" s="1"/>
      <c r="H350" s="1"/>
      <c r="I350" s="1"/>
      <c r="J350" s="1"/>
      <c r="K350" s="1"/>
      <c r="L350" s="1"/>
      <c r="M350" s="1"/>
      <c r="N350" s="1"/>
      <c r="O350" s="1"/>
      <c r="Q350" s="8">
        <f t="shared" si="51"/>
        <v>0</v>
      </c>
      <c r="S350" s="8">
        <f t="shared" si="52"/>
        <v>0</v>
      </c>
      <c r="T350" s="8">
        <f t="shared" si="53"/>
        <v>0</v>
      </c>
      <c r="U350" s="8">
        <f t="shared" si="54"/>
        <v>0</v>
      </c>
      <c r="V350" s="8">
        <f t="shared" si="55"/>
        <v>0</v>
      </c>
      <c r="W350" s="8">
        <f t="shared" si="56"/>
        <v>0</v>
      </c>
    </row>
    <row r="351" spans="1:23" outlineLevel="1" x14ac:dyDescent="0.3">
      <c r="A351" s="11"/>
      <c r="B351" s="11"/>
      <c r="C351" s="11"/>
      <c r="D351" s="1"/>
      <c r="E351" s="1"/>
      <c r="F351" s="1"/>
      <c r="G351" s="1"/>
      <c r="H351" s="1"/>
      <c r="I351" s="1"/>
      <c r="J351" s="1"/>
      <c r="K351" s="1"/>
      <c r="L351" s="1"/>
      <c r="M351" s="1"/>
      <c r="N351" s="1"/>
      <c r="O351" s="1"/>
      <c r="Q351" s="8">
        <f t="shared" si="51"/>
        <v>0</v>
      </c>
      <c r="S351" s="8">
        <f t="shared" si="52"/>
        <v>0</v>
      </c>
      <c r="T351" s="8">
        <f t="shared" si="53"/>
        <v>0</v>
      </c>
      <c r="U351" s="8">
        <f t="shared" si="54"/>
        <v>0</v>
      </c>
      <c r="V351" s="8">
        <f t="shared" si="55"/>
        <v>0</v>
      </c>
      <c r="W351" s="8">
        <f t="shared" si="56"/>
        <v>0</v>
      </c>
    </row>
    <row r="352" spans="1:23" outlineLevel="1" x14ac:dyDescent="0.3">
      <c r="A352" s="11"/>
      <c r="B352" s="11"/>
      <c r="C352" s="11"/>
      <c r="D352" s="1"/>
      <c r="E352" s="1"/>
      <c r="F352" s="1"/>
      <c r="G352" s="1"/>
      <c r="H352" s="1"/>
      <c r="I352" s="1"/>
      <c r="J352" s="1"/>
      <c r="K352" s="1"/>
      <c r="L352" s="1"/>
      <c r="M352" s="1"/>
      <c r="N352" s="1"/>
      <c r="O352" s="1"/>
      <c r="Q352" s="8">
        <f t="shared" si="51"/>
        <v>0</v>
      </c>
      <c r="S352" s="8">
        <f t="shared" si="52"/>
        <v>0</v>
      </c>
      <c r="T352" s="8">
        <f t="shared" si="53"/>
        <v>0</v>
      </c>
      <c r="U352" s="8">
        <f t="shared" si="54"/>
        <v>0</v>
      </c>
      <c r="V352" s="8">
        <f t="shared" si="55"/>
        <v>0</v>
      </c>
      <c r="W352" s="8">
        <f t="shared" si="56"/>
        <v>0</v>
      </c>
    </row>
    <row r="353" spans="1:23" outlineLevel="1" x14ac:dyDescent="0.3">
      <c r="A353" s="11"/>
      <c r="B353" s="11"/>
      <c r="C353" s="11"/>
      <c r="D353" s="1"/>
      <c r="E353" s="1"/>
      <c r="F353" s="1"/>
      <c r="G353" s="1"/>
      <c r="H353" s="1"/>
      <c r="I353" s="1"/>
      <c r="J353" s="1"/>
      <c r="K353" s="1"/>
      <c r="L353" s="1"/>
      <c r="M353" s="1"/>
      <c r="N353" s="1"/>
      <c r="O353" s="1"/>
      <c r="Q353" s="8">
        <f t="shared" si="51"/>
        <v>0</v>
      </c>
      <c r="S353" s="8">
        <f t="shared" si="52"/>
        <v>0</v>
      </c>
      <c r="T353" s="8">
        <f t="shared" si="53"/>
        <v>0</v>
      </c>
      <c r="U353" s="8">
        <f t="shared" si="54"/>
        <v>0</v>
      </c>
      <c r="V353" s="8">
        <f t="shared" si="55"/>
        <v>0</v>
      </c>
      <c r="W353" s="8">
        <f t="shared" si="56"/>
        <v>0</v>
      </c>
    </row>
    <row r="354" spans="1:23" outlineLevel="1" x14ac:dyDescent="0.3">
      <c r="A354" s="11"/>
      <c r="B354" s="11"/>
      <c r="C354" s="11"/>
      <c r="D354" s="1"/>
      <c r="E354" s="1"/>
      <c r="F354" s="1"/>
      <c r="G354" s="1"/>
      <c r="H354" s="1"/>
      <c r="I354" s="1"/>
      <c r="J354" s="1"/>
      <c r="K354" s="1"/>
      <c r="L354" s="1"/>
      <c r="M354" s="1"/>
      <c r="N354" s="1"/>
      <c r="O354" s="1"/>
      <c r="Q354" s="8">
        <f t="shared" si="51"/>
        <v>0</v>
      </c>
      <c r="S354" s="8">
        <f t="shared" si="52"/>
        <v>0</v>
      </c>
      <c r="T354" s="8">
        <f t="shared" si="53"/>
        <v>0</v>
      </c>
      <c r="U354" s="8">
        <f t="shared" si="54"/>
        <v>0</v>
      </c>
      <c r="V354" s="8">
        <f t="shared" si="55"/>
        <v>0</v>
      </c>
      <c r="W354" s="8">
        <f t="shared" si="56"/>
        <v>0</v>
      </c>
    </row>
    <row r="355" spans="1:23" outlineLevel="1" x14ac:dyDescent="0.3">
      <c r="A355" s="11"/>
      <c r="B355" s="11"/>
      <c r="C355" s="11"/>
      <c r="D355" s="1"/>
      <c r="E355" s="1"/>
      <c r="F355" s="1"/>
      <c r="G355" s="1"/>
      <c r="H355" s="1"/>
      <c r="I355" s="1"/>
      <c r="J355" s="1"/>
      <c r="K355" s="1"/>
      <c r="L355" s="1"/>
      <c r="M355" s="1"/>
      <c r="N355" s="1"/>
      <c r="O355" s="1"/>
      <c r="Q355" s="8">
        <f t="shared" si="51"/>
        <v>0</v>
      </c>
      <c r="S355" s="8">
        <f t="shared" si="52"/>
        <v>0</v>
      </c>
      <c r="T355" s="8">
        <f t="shared" si="53"/>
        <v>0</v>
      </c>
      <c r="U355" s="8">
        <f t="shared" si="54"/>
        <v>0</v>
      </c>
      <c r="V355" s="8">
        <f t="shared" si="55"/>
        <v>0</v>
      </c>
      <c r="W355" s="8">
        <f t="shared" si="56"/>
        <v>0</v>
      </c>
    </row>
    <row r="356" spans="1:23" outlineLevel="1" x14ac:dyDescent="0.3">
      <c r="A356" s="11"/>
      <c r="B356" s="11"/>
      <c r="C356" s="11"/>
      <c r="D356" s="1"/>
      <c r="E356" s="1"/>
      <c r="F356" s="1"/>
      <c r="G356" s="1"/>
      <c r="H356" s="1"/>
      <c r="I356" s="1"/>
      <c r="J356" s="1"/>
      <c r="K356" s="1"/>
      <c r="L356" s="1"/>
      <c r="M356" s="1"/>
      <c r="N356" s="1"/>
      <c r="O356" s="1"/>
      <c r="Q356" s="8">
        <f t="shared" si="51"/>
        <v>0</v>
      </c>
      <c r="S356" s="8">
        <f t="shared" si="52"/>
        <v>0</v>
      </c>
      <c r="T356" s="8">
        <f t="shared" si="53"/>
        <v>0</v>
      </c>
      <c r="U356" s="8">
        <f t="shared" si="54"/>
        <v>0</v>
      </c>
      <c r="V356" s="8">
        <f t="shared" si="55"/>
        <v>0</v>
      </c>
      <c r="W356" s="8">
        <f t="shared" si="56"/>
        <v>0</v>
      </c>
    </row>
    <row r="357" spans="1:23" outlineLevel="1" x14ac:dyDescent="0.3">
      <c r="A357" s="11"/>
      <c r="B357" s="11"/>
      <c r="C357" s="11"/>
      <c r="D357" s="1"/>
      <c r="E357" s="1"/>
      <c r="F357" s="1"/>
      <c r="G357" s="1"/>
      <c r="H357" s="1"/>
      <c r="I357" s="1"/>
      <c r="J357" s="1"/>
      <c r="K357" s="1"/>
      <c r="L357" s="1"/>
      <c r="M357" s="1"/>
      <c r="N357" s="1"/>
      <c r="O357" s="1"/>
      <c r="Q357" s="8">
        <f t="shared" si="51"/>
        <v>0</v>
      </c>
      <c r="S357" s="8">
        <f t="shared" si="52"/>
        <v>0</v>
      </c>
      <c r="T357" s="8">
        <f t="shared" si="53"/>
        <v>0</v>
      </c>
      <c r="U357" s="8">
        <f t="shared" si="54"/>
        <v>0</v>
      </c>
      <c r="V357" s="8">
        <f t="shared" si="55"/>
        <v>0</v>
      </c>
      <c r="W357" s="8">
        <f t="shared" si="56"/>
        <v>0</v>
      </c>
    </row>
    <row r="358" spans="1:23" outlineLevel="1" x14ac:dyDescent="0.3">
      <c r="A358" s="11"/>
      <c r="B358" s="11"/>
      <c r="C358" s="11"/>
      <c r="D358" s="1"/>
      <c r="E358" s="1"/>
      <c r="F358" s="1"/>
      <c r="G358" s="1"/>
      <c r="H358" s="1"/>
      <c r="I358" s="1"/>
      <c r="J358" s="1"/>
      <c r="K358" s="1"/>
      <c r="L358" s="1"/>
      <c r="M358" s="1"/>
      <c r="N358" s="1"/>
      <c r="O358" s="1"/>
      <c r="Q358" s="8">
        <f t="shared" si="51"/>
        <v>0</v>
      </c>
      <c r="S358" s="8">
        <f t="shared" si="52"/>
        <v>0</v>
      </c>
      <c r="T358" s="8">
        <f t="shared" si="53"/>
        <v>0</v>
      </c>
      <c r="U358" s="8">
        <f t="shared" si="54"/>
        <v>0</v>
      </c>
      <c r="V358" s="8">
        <f t="shared" si="55"/>
        <v>0</v>
      </c>
      <c r="W358" s="8">
        <f t="shared" si="56"/>
        <v>0</v>
      </c>
    </row>
    <row r="359" spans="1:23" outlineLevel="1" x14ac:dyDescent="0.3">
      <c r="A359" s="11"/>
      <c r="B359" s="11"/>
      <c r="C359" s="11"/>
      <c r="D359" s="1"/>
      <c r="E359" s="1"/>
      <c r="F359" s="1"/>
      <c r="G359" s="1"/>
      <c r="H359" s="1"/>
      <c r="I359" s="1"/>
      <c r="J359" s="1"/>
      <c r="K359" s="1"/>
      <c r="L359" s="1"/>
      <c r="M359" s="1"/>
      <c r="N359" s="1"/>
      <c r="O359" s="1"/>
      <c r="Q359" s="8">
        <f t="shared" si="51"/>
        <v>0</v>
      </c>
      <c r="S359" s="8">
        <f t="shared" si="52"/>
        <v>0</v>
      </c>
      <c r="T359" s="8">
        <f t="shared" si="53"/>
        <v>0</v>
      </c>
      <c r="U359" s="8">
        <f t="shared" si="54"/>
        <v>0</v>
      </c>
      <c r="V359" s="8">
        <f t="shared" si="55"/>
        <v>0</v>
      </c>
      <c r="W359" s="8">
        <f t="shared" si="56"/>
        <v>0</v>
      </c>
    </row>
    <row r="360" spans="1:23" outlineLevel="1" x14ac:dyDescent="0.3">
      <c r="A360" s="11"/>
      <c r="B360" s="11"/>
      <c r="C360" s="11"/>
      <c r="D360" s="1"/>
      <c r="E360" s="1"/>
      <c r="F360" s="1"/>
      <c r="G360" s="1"/>
      <c r="H360" s="1"/>
      <c r="I360" s="1"/>
      <c r="J360" s="1"/>
      <c r="K360" s="1"/>
      <c r="L360" s="1"/>
      <c r="M360" s="1"/>
      <c r="N360" s="1"/>
      <c r="O360" s="1"/>
      <c r="Q360" s="8">
        <f t="shared" si="51"/>
        <v>0</v>
      </c>
      <c r="S360" s="8">
        <f t="shared" si="52"/>
        <v>0</v>
      </c>
      <c r="T360" s="8">
        <f t="shared" si="53"/>
        <v>0</v>
      </c>
      <c r="U360" s="8">
        <f t="shared" si="54"/>
        <v>0</v>
      </c>
      <c r="V360" s="8">
        <f t="shared" si="55"/>
        <v>0</v>
      </c>
      <c r="W360" s="8">
        <f t="shared" si="56"/>
        <v>0</v>
      </c>
    </row>
    <row r="361" spans="1:23" outlineLevel="1" x14ac:dyDescent="0.3">
      <c r="A361" s="11"/>
      <c r="B361" s="11"/>
      <c r="C361" s="11"/>
      <c r="D361" s="1"/>
      <c r="E361" s="1"/>
      <c r="F361" s="1"/>
      <c r="G361" s="1"/>
      <c r="H361" s="1"/>
      <c r="I361" s="1"/>
      <c r="J361" s="1"/>
      <c r="K361" s="1"/>
      <c r="L361" s="1"/>
      <c r="M361" s="1"/>
      <c r="N361" s="1"/>
      <c r="O361" s="1"/>
      <c r="Q361" s="8">
        <f t="shared" si="51"/>
        <v>0</v>
      </c>
      <c r="S361" s="8">
        <f t="shared" si="52"/>
        <v>0</v>
      </c>
      <c r="T361" s="8">
        <f t="shared" si="53"/>
        <v>0</v>
      </c>
      <c r="U361" s="8">
        <f t="shared" si="54"/>
        <v>0</v>
      </c>
      <c r="V361" s="8">
        <f t="shared" si="55"/>
        <v>0</v>
      </c>
      <c r="W361" s="8">
        <f t="shared" si="56"/>
        <v>0</v>
      </c>
    </row>
    <row r="362" spans="1:23" outlineLevel="1" x14ac:dyDescent="0.3">
      <c r="A362" s="11"/>
      <c r="B362" s="11"/>
      <c r="C362" s="11"/>
      <c r="D362" s="1"/>
      <c r="E362" s="1"/>
      <c r="F362" s="1"/>
      <c r="G362" s="1"/>
      <c r="H362" s="1"/>
      <c r="I362" s="1"/>
      <c r="J362" s="1"/>
      <c r="K362" s="1"/>
      <c r="L362" s="1"/>
      <c r="M362" s="1"/>
      <c r="N362" s="1"/>
      <c r="O362" s="1"/>
      <c r="Q362" s="8">
        <f t="shared" si="51"/>
        <v>0</v>
      </c>
      <c r="S362" s="8">
        <f t="shared" si="52"/>
        <v>0</v>
      </c>
      <c r="T362" s="8">
        <f t="shared" si="53"/>
        <v>0</v>
      </c>
      <c r="U362" s="8">
        <f t="shared" si="54"/>
        <v>0</v>
      </c>
      <c r="V362" s="8">
        <f t="shared" si="55"/>
        <v>0</v>
      </c>
      <c r="W362" s="8">
        <f t="shared" si="56"/>
        <v>0</v>
      </c>
    </row>
    <row r="363" spans="1:23" outlineLevel="1" x14ac:dyDescent="0.3">
      <c r="A363" s="11"/>
      <c r="B363" s="11"/>
      <c r="C363" s="11"/>
      <c r="D363" s="1"/>
      <c r="E363" s="1"/>
      <c r="F363" s="1"/>
      <c r="G363" s="1"/>
      <c r="H363" s="1"/>
      <c r="I363" s="1"/>
      <c r="J363" s="1"/>
      <c r="K363" s="1"/>
      <c r="L363" s="1"/>
      <c r="M363" s="1"/>
      <c r="N363" s="1"/>
      <c r="O363" s="1"/>
      <c r="Q363" s="8">
        <f t="shared" si="51"/>
        <v>0</v>
      </c>
      <c r="S363" s="8">
        <f t="shared" si="52"/>
        <v>0</v>
      </c>
      <c r="T363" s="8">
        <f t="shared" si="53"/>
        <v>0</v>
      </c>
      <c r="U363" s="8">
        <f t="shared" si="54"/>
        <v>0</v>
      </c>
      <c r="V363" s="8">
        <f t="shared" si="55"/>
        <v>0</v>
      </c>
      <c r="W363" s="8">
        <f t="shared" si="56"/>
        <v>0</v>
      </c>
    </row>
    <row r="364" spans="1:23" outlineLevel="1" x14ac:dyDescent="0.3">
      <c r="A364" s="11"/>
      <c r="B364" s="11"/>
      <c r="C364" s="11"/>
      <c r="D364" s="1"/>
      <c r="E364" s="1"/>
      <c r="F364" s="1"/>
      <c r="G364" s="1"/>
      <c r="H364" s="1"/>
      <c r="I364" s="1"/>
      <c r="J364" s="1"/>
      <c r="K364" s="1"/>
      <c r="L364" s="1"/>
      <c r="M364" s="1"/>
      <c r="N364" s="1"/>
      <c r="O364" s="1"/>
      <c r="Q364" s="8">
        <f t="shared" si="51"/>
        <v>0</v>
      </c>
      <c r="S364" s="8">
        <f t="shared" si="52"/>
        <v>0</v>
      </c>
      <c r="T364" s="8">
        <f t="shared" si="53"/>
        <v>0</v>
      </c>
      <c r="U364" s="8">
        <f t="shared" si="54"/>
        <v>0</v>
      </c>
      <c r="V364" s="8">
        <f t="shared" si="55"/>
        <v>0</v>
      </c>
      <c r="W364" s="8">
        <f t="shared" si="56"/>
        <v>0</v>
      </c>
    </row>
    <row r="365" spans="1:23" outlineLevel="1" x14ac:dyDescent="0.3">
      <c r="A365" s="11"/>
      <c r="B365" s="11"/>
      <c r="C365" s="11"/>
      <c r="D365" s="1"/>
      <c r="E365" s="1"/>
      <c r="F365" s="1"/>
      <c r="G365" s="1"/>
      <c r="H365" s="1"/>
      <c r="I365" s="1"/>
      <c r="J365" s="1"/>
      <c r="K365" s="1"/>
      <c r="L365" s="1"/>
      <c r="M365" s="1"/>
      <c r="N365" s="1"/>
      <c r="O365" s="1"/>
      <c r="Q365" s="8">
        <f t="shared" si="51"/>
        <v>0</v>
      </c>
      <c r="S365" s="8">
        <f t="shared" si="52"/>
        <v>0</v>
      </c>
      <c r="T365" s="8">
        <f t="shared" si="53"/>
        <v>0</v>
      </c>
      <c r="U365" s="8">
        <f t="shared" si="54"/>
        <v>0</v>
      </c>
      <c r="V365" s="8">
        <f t="shared" si="55"/>
        <v>0</v>
      </c>
      <c r="W365" s="8">
        <f t="shared" si="56"/>
        <v>0</v>
      </c>
    </row>
    <row r="366" spans="1:23" outlineLevel="1" x14ac:dyDescent="0.3">
      <c r="A366" s="11"/>
      <c r="B366" s="11"/>
      <c r="C366" s="11"/>
      <c r="D366" s="1"/>
      <c r="E366" s="1"/>
      <c r="F366" s="1"/>
      <c r="G366" s="1"/>
      <c r="H366" s="1"/>
      <c r="I366" s="1"/>
      <c r="J366" s="1"/>
      <c r="K366" s="1"/>
      <c r="L366" s="1"/>
      <c r="M366" s="1"/>
      <c r="N366" s="1"/>
      <c r="O366" s="1"/>
      <c r="Q366" s="8">
        <f t="shared" si="51"/>
        <v>0</v>
      </c>
      <c r="S366" s="8">
        <f t="shared" si="52"/>
        <v>0</v>
      </c>
      <c r="T366" s="8">
        <f t="shared" si="53"/>
        <v>0</v>
      </c>
      <c r="U366" s="8">
        <f t="shared" si="54"/>
        <v>0</v>
      </c>
      <c r="V366" s="8">
        <f t="shared" si="55"/>
        <v>0</v>
      </c>
      <c r="W366" s="8">
        <f t="shared" si="56"/>
        <v>0</v>
      </c>
    </row>
    <row r="367" spans="1:23" outlineLevel="1" x14ac:dyDescent="0.3">
      <c r="A367" s="11"/>
      <c r="B367" s="11"/>
      <c r="C367" s="11"/>
      <c r="D367" s="1"/>
      <c r="E367" s="1"/>
      <c r="F367" s="1"/>
      <c r="G367" s="1"/>
      <c r="H367" s="1"/>
      <c r="I367" s="1"/>
      <c r="J367" s="1"/>
      <c r="K367" s="1"/>
      <c r="L367" s="1"/>
      <c r="M367" s="1"/>
      <c r="N367" s="1"/>
      <c r="O367" s="1"/>
      <c r="Q367" s="8">
        <f t="shared" si="51"/>
        <v>0</v>
      </c>
      <c r="S367" s="8">
        <f t="shared" si="52"/>
        <v>0</v>
      </c>
      <c r="T367" s="8">
        <f t="shared" si="53"/>
        <v>0</v>
      </c>
      <c r="U367" s="8">
        <f t="shared" si="54"/>
        <v>0</v>
      </c>
      <c r="V367" s="8">
        <f t="shared" si="55"/>
        <v>0</v>
      </c>
      <c r="W367" s="8">
        <f t="shared" si="56"/>
        <v>0</v>
      </c>
    </row>
    <row r="368" spans="1:23" outlineLevel="1" x14ac:dyDescent="0.3">
      <c r="A368" s="11"/>
      <c r="B368" s="11"/>
      <c r="C368" s="11"/>
      <c r="D368" s="1"/>
      <c r="E368" s="1"/>
      <c r="F368" s="1"/>
      <c r="G368" s="1"/>
      <c r="H368" s="1"/>
      <c r="I368" s="1"/>
      <c r="J368" s="1"/>
      <c r="K368" s="1"/>
      <c r="L368" s="1"/>
      <c r="M368" s="1"/>
      <c r="N368" s="1"/>
      <c r="O368" s="1"/>
      <c r="Q368" s="8">
        <f t="shared" si="51"/>
        <v>0</v>
      </c>
      <c r="S368" s="8">
        <f t="shared" si="52"/>
        <v>0</v>
      </c>
      <c r="T368" s="8">
        <f t="shared" si="53"/>
        <v>0</v>
      </c>
      <c r="U368" s="8">
        <f t="shared" si="54"/>
        <v>0</v>
      </c>
      <c r="V368" s="8">
        <f t="shared" si="55"/>
        <v>0</v>
      </c>
      <c r="W368" s="8">
        <f t="shared" si="56"/>
        <v>0</v>
      </c>
    </row>
    <row r="369" spans="1:23" outlineLevel="1" x14ac:dyDescent="0.3">
      <c r="A369" s="11"/>
      <c r="B369" s="11"/>
      <c r="C369" s="11"/>
      <c r="D369" s="1"/>
      <c r="E369" s="1"/>
      <c r="F369" s="1"/>
      <c r="G369" s="1"/>
      <c r="H369" s="1"/>
      <c r="I369" s="1"/>
      <c r="J369" s="1"/>
      <c r="K369" s="1"/>
      <c r="L369" s="1"/>
      <c r="M369" s="1"/>
      <c r="N369" s="1"/>
      <c r="O369" s="1"/>
      <c r="Q369" s="8">
        <f t="shared" si="51"/>
        <v>0</v>
      </c>
      <c r="S369" s="8">
        <f t="shared" si="52"/>
        <v>0</v>
      </c>
      <c r="T369" s="8">
        <f t="shared" si="53"/>
        <v>0</v>
      </c>
      <c r="U369" s="8">
        <f t="shared" si="54"/>
        <v>0</v>
      </c>
      <c r="V369" s="8">
        <f t="shared" si="55"/>
        <v>0</v>
      </c>
      <c r="W369" s="8">
        <f t="shared" si="56"/>
        <v>0</v>
      </c>
    </row>
    <row r="370" spans="1:23" outlineLevel="1" x14ac:dyDescent="0.3">
      <c r="A370" s="11"/>
      <c r="B370" s="11"/>
      <c r="C370" s="11"/>
      <c r="D370" s="1"/>
      <c r="E370" s="1"/>
      <c r="F370" s="1"/>
      <c r="G370" s="1"/>
      <c r="H370" s="1"/>
      <c r="I370" s="1"/>
      <c r="J370" s="1"/>
      <c r="K370" s="1"/>
      <c r="L370" s="1"/>
      <c r="M370" s="1"/>
      <c r="N370" s="1"/>
      <c r="O370" s="1"/>
      <c r="Q370" s="8">
        <f t="shared" si="51"/>
        <v>0</v>
      </c>
      <c r="S370" s="8">
        <f t="shared" si="52"/>
        <v>0</v>
      </c>
      <c r="T370" s="8">
        <f t="shared" si="53"/>
        <v>0</v>
      </c>
      <c r="U370" s="8">
        <f t="shared" si="54"/>
        <v>0</v>
      </c>
      <c r="V370" s="8">
        <f t="shared" si="55"/>
        <v>0</v>
      </c>
      <c r="W370" s="8">
        <f t="shared" si="56"/>
        <v>0</v>
      </c>
    </row>
    <row r="371" spans="1:23" outlineLevel="1" x14ac:dyDescent="0.3">
      <c r="A371" s="11"/>
      <c r="B371" s="11"/>
      <c r="C371" s="11"/>
      <c r="D371" s="1"/>
      <c r="E371" s="1"/>
      <c r="F371" s="1"/>
      <c r="G371" s="1"/>
      <c r="H371" s="1"/>
      <c r="I371" s="1"/>
      <c r="J371" s="1"/>
      <c r="K371" s="1"/>
      <c r="L371" s="1"/>
      <c r="M371" s="1"/>
      <c r="N371" s="1"/>
      <c r="O371" s="1"/>
      <c r="Q371" s="8">
        <f t="shared" ref="Q371:Q428" si="57">IFERROR(SUM(D371:O371),"")</f>
        <v>0</v>
      </c>
      <c r="S371" s="8">
        <f t="shared" ref="S371:S428" si="58">+SUM(O371)*12</f>
        <v>0</v>
      </c>
      <c r="T371" s="8">
        <f t="shared" ref="T371:T428" si="59">+SUM(M371:O371)*4</f>
        <v>0</v>
      </c>
      <c r="U371" s="8">
        <f t="shared" ref="U371:U428" si="60">+SUM(J371:O371)*2</f>
        <v>0</v>
      </c>
      <c r="V371" s="8">
        <f t="shared" ref="V371:V428" si="61">+SUM(G371:O371)/9*12</f>
        <v>0</v>
      </c>
      <c r="W371" s="8">
        <f t="shared" ref="W371:W428" si="62">+SUM(D371:O371)</f>
        <v>0</v>
      </c>
    </row>
    <row r="372" spans="1:23" outlineLevel="1" x14ac:dyDescent="0.3">
      <c r="A372" s="11"/>
      <c r="B372" s="11"/>
      <c r="C372" s="11"/>
      <c r="D372" s="1"/>
      <c r="E372" s="1"/>
      <c r="F372" s="1"/>
      <c r="G372" s="1"/>
      <c r="H372" s="1"/>
      <c r="I372" s="1"/>
      <c r="J372" s="1"/>
      <c r="K372" s="1"/>
      <c r="L372" s="1"/>
      <c r="M372" s="1"/>
      <c r="N372" s="1"/>
      <c r="O372" s="1"/>
      <c r="Q372" s="8">
        <f t="shared" si="57"/>
        <v>0</v>
      </c>
      <c r="S372" s="8">
        <f t="shared" si="58"/>
        <v>0</v>
      </c>
      <c r="T372" s="8">
        <f t="shared" si="59"/>
        <v>0</v>
      </c>
      <c r="U372" s="8">
        <f t="shared" si="60"/>
        <v>0</v>
      </c>
      <c r="V372" s="8">
        <f t="shared" si="61"/>
        <v>0</v>
      </c>
      <c r="W372" s="8">
        <f t="shared" si="62"/>
        <v>0</v>
      </c>
    </row>
    <row r="373" spans="1:23" outlineLevel="1" x14ac:dyDescent="0.3">
      <c r="A373" s="11"/>
      <c r="B373" s="11"/>
      <c r="C373" s="11"/>
      <c r="D373" s="1"/>
      <c r="E373" s="1"/>
      <c r="F373" s="1"/>
      <c r="G373" s="1"/>
      <c r="H373" s="1"/>
      <c r="I373" s="1"/>
      <c r="J373" s="1"/>
      <c r="K373" s="1"/>
      <c r="L373" s="1"/>
      <c r="M373" s="1"/>
      <c r="N373" s="1"/>
      <c r="O373" s="1"/>
      <c r="Q373" s="8">
        <f t="shared" si="57"/>
        <v>0</v>
      </c>
      <c r="S373" s="8">
        <f t="shared" si="58"/>
        <v>0</v>
      </c>
      <c r="T373" s="8">
        <f t="shared" si="59"/>
        <v>0</v>
      </c>
      <c r="U373" s="8">
        <f t="shared" si="60"/>
        <v>0</v>
      </c>
      <c r="V373" s="8">
        <f t="shared" si="61"/>
        <v>0</v>
      </c>
      <c r="W373" s="8">
        <f t="shared" si="62"/>
        <v>0</v>
      </c>
    </row>
    <row r="374" spans="1:23" outlineLevel="1" x14ac:dyDescent="0.3">
      <c r="A374" s="11"/>
      <c r="B374" s="11"/>
      <c r="C374" s="11"/>
      <c r="D374" s="1"/>
      <c r="E374" s="1"/>
      <c r="F374" s="1"/>
      <c r="G374" s="1"/>
      <c r="H374" s="1"/>
      <c r="I374" s="1"/>
      <c r="J374" s="1"/>
      <c r="K374" s="1"/>
      <c r="L374" s="1"/>
      <c r="M374" s="1"/>
      <c r="N374" s="1"/>
      <c r="O374" s="1"/>
      <c r="Q374" s="8">
        <f t="shared" si="57"/>
        <v>0</v>
      </c>
      <c r="S374" s="8">
        <f t="shared" si="58"/>
        <v>0</v>
      </c>
      <c r="T374" s="8">
        <f t="shared" si="59"/>
        <v>0</v>
      </c>
      <c r="U374" s="8">
        <f t="shared" si="60"/>
        <v>0</v>
      </c>
      <c r="V374" s="8">
        <f t="shared" si="61"/>
        <v>0</v>
      </c>
      <c r="W374" s="8">
        <f t="shared" si="62"/>
        <v>0</v>
      </c>
    </row>
    <row r="375" spans="1:23" outlineLevel="1" x14ac:dyDescent="0.3">
      <c r="A375" s="11"/>
      <c r="B375" s="11"/>
      <c r="C375" s="11"/>
      <c r="D375" s="1"/>
      <c r="E375" s="1"/>
      <c r="F375" s="1"/>
      <c r="G375" s="1"/>
      <c r="H375" s="1"/>
      <c r="I375" s="1"/>
      <c r="J375" s="1"/>
      <c r="K375" s="1"/>
      <c r="L375" s="1"/>
      <c r="M375" s="1"/>
      <c r="N375" s="1"/>
      <c r="O375" s="1"/>
      <c r="Q375" s="8">
        <f t="shared" si="57"/>
        <v>0</v>
      </c>
      <c r="S375" s="8">
        <f t="shared" si="58"/>
        <v>0</v>
      </c>
      <c r="T375" s="8">
        <f t="shared" si="59"/>
        <v>0</v>
      </c>
      <c r="U375" s="8">
        <f t="shared" si="60"/>
        <v>0</v>
      </c>
      <c r="V375" s="8">
        <f t="shared" si="61"/>
        <v>0</v>
      </c>
      <c r="W375" s="8">
        <f t="shared" si="62"/>
        <v>0</v>
      </c>
    </row>
    <row r="376" spans="1:23" outlineLevel="1" x14ac:dyDescent="0.3">
      <c r="A376" s="11"/>
      <c r="B376" s="11"/>
      <c r="C376" s="11"/>
      <c r="D376" s="1"/>
      <c r="E376" s="1"/>
      <c r="F376" s="1"/>
      <c r="G376" s="1"/>
      <c r="H376" s="1"/>
      <c r="I376" s="1"/>
      <c r="J376" s="1"/>
      <c r="K376" s="1"/>
      <c r="L376" s="1"/>
      <c r="M376" s="1"/>
      <c r="N376" s="1"/>
      <c r="O376" s="1"/>
      <c r="Q376" s="8">
        <f t="shared" si="57"/>
        <v>0</v>
      </c>
      <c r="S376" s="8">
        <f t="shared" si="58"/>
        <v>0</v>
      </c>
      <c r="T376" s="8">
        <f t="shared" si="59"/>
        <v>0</v>
      </c>
      <c r="U376" s="8">
        <f t="shared" si="60"/>
        <v>0</v>
      </c>
      <c r="V376" s="8">
        <f t="shared" si="61"/>
        <v>0</v>
      </c>
      <c r="W376" s="8">
        <f t="shared" si="62"/>
        <v>0</v>
      </c>
    </row>
    <row r="377" spans="1:23" outlineLevel="1" x14ac:dyDescent="0.3">
      <c r="A377" s="11"/>
      <c r="B377" s="11"/>
      <c r="C377" s="11"/>
      <c r="D377" s="11"/>
      <c r="E377" s="11"/>
      <c r="F377" s="11"/>
      <c r="G377" s="11"/>
      <c r="H377" s="11"/>
      <c r="I377" s="11"/>
      <c r="J377" s="11"/>
      <c r="K377" s="11"/>
      <c r="L377" s="11"/>
      <c r="M377" s="11"/>
      <c r="N377" s="11"/>
      <c r="O377" s="11"/>
      <c r="Q377" s="8">
        <f t="shared" si="57"/>
        <v>0</v>
      </c>
      <c r="S377" s="8">
        <f t="shared" si="58"/>
        <v>0</v>
      </c>
      <c r="T377" s="8">
        <f t="shared" si="59"/>
        <v>0</v>
      </c>
      <c r="U377" s="8">
        <f t="shared" si="60"/>
        <v>0</v>
      </c>
      <c r="V377" s="8">
        <f t="shared" si="61"/>
        <v>0</v>
      </c>
      <c r="W377" s="8">
        <f t="shared" si="62"/>
        <v>0</v>
      </c>
    </row>
    <row r="378" spans="1:23" outlineLevel="1" x14ac:dyDescent="0.3">
      <c r="A378" s="11"/>
      <c r="B378" s="11"/>
      <c r="C378" s="11"/>
      <c r="D378" s="11"/>
      <c r="E378" s="11"/>
      <c r="F378" s="11"/>
      <c r="G378" s="11"/>
      <c r="H378" s="11"/>
      <c r="I378" s="11"/>
      <c r="J378" s="11"/>
      <c r="K378" s="11"/>
      <c r="L378" s="11"/>
      <c r="M378" s="11"/>
      <c r="N378" s="11"/>
      <c r="O378" s="11"/>
      <c r="Q378" s="8">
        <f t="shared" si="57"/>
        <v>0</v>
      </c>
      <c r="S378" s="8">
        <f t="shared" si="58"/>
        <v>0</v>
      </c>
      <c r="T378" s="8">
        <f t="shared" si="59"/>
        <v>0</v>
      </c>
      <c r="U378" s="8">
        <f t="shared" si="60"/>
        <v>0</v>
      </c>
      <c r="V378" s="8">
        <f t="shared" si="61"/>
        <v>0</v>
      </c>
      <c r="W378" s="8">
        <f t="shared" si="62"/>
        <v>0</v>
      </c>
    </row>
    <row r="379" spans="1:23" outlineLevel="1" x14ac:dyDescent="0.3">
      <c r="A379" s="11"/>
      <c r="B379" s="11"/>
      <c r="C379" s="11"/>
      <c r="D379" s="11"/>
      <c r="E379" s="11"/>
      <c r="F379" s="11"/>
      <c r="G379" s="11"/>
      <c r="H379" s="11"/>
      <c r="I379" s="11"/>
      <c r="J379" s="11"/>
      <c r="K379" s="11"/>
      <c r="L379" s="11"/>
      <c r="M379" s="11"/>
      <c r="N379" s="11"/>
      <c r="O379" s="11"/>
      <c r="Q379" s="8">
        <f t="shared" si="57"/>
        <v>0</v>
      </c>
      <c r="S379" s="8">
        <f t="shared" si="58"/>
        <v>0</v>
      </c>
      <c r="T379" s="8">
        <f t="shared" si="59"/>
        <v>0</v>
      </c>
      <c r="U379" s="8">
        <f t="shared" si="60"/>
        <v>0</v>
      </c>
      <c r="V379" s="8">
        <f t="shared" si="61"/>
        <v>0</v>
      </c>
      <c r="W379" s="8">
        <f t="shared" si="62"/>
        <v>0</v>
      </c>
    </row>
    <row r="380" spans="1:23" outlineLevel="1" x14ac:dyDescent="0.3">
      <c r="A380" s="11"/>
      <c r="B380" s="11"/>
      <c r="C380" s="11"/>
      <c r="D380" s="11"/>
      <c r="E380" s="11"/>
      <c r="F380" s="11"/>
      <c r="G380" s="11"/>
      <c r="H380" s="11"/>
      <c r="I380" s="11"/>
      <c r="J380" s="11"/>
      <c r="K380" s="11"/>
      <c r="L380" s="11"/>
      <c r="M380" s="11"/>
      <c r="N380" s="11"/>
      <c r="O380" s="11"/>
      <c r="Q380" s="8">
        <f t="shared" si="57"/>
        <v>0</v>
      </c>
      <c r="S380" s="8">
        <f t="shared" si="58"/>
        <v>0</v>
      </c>
      <c r="T380" s="8">
        <f t="shared" si="59"/>
        <v>0</v>
      </c>
      <c r="U380" s="8">
        <f t="shared" si="60"/>
        <v>0</v>
      </c>
      <c r="V380" s="8">
        <f t="shared" si="61"/>
        <v>0</v>
      </c>
      <c r="W380" s="8">
        <f t="shared" si="62"/>
        <v>0</v>
      </c>
    </row>
    <row r="381" spans="1:23" outlineLevel="1" x14ac:dyDescent="0.3">
      <c r="A381" s="11"/>
      <c r="B381" s="11"/>
      <c r="C381" s="11"/>
      <c r="D381" s="11"/>
      <c r="E381" s="11"/>
      <c r="F381" s="11"/>
      <c r="G381" s="11"/>
      <c r="H381" s="11"/>
      <c r="I381" s="11"/>
      <c r="J381" s="11"/>
      <c r="K381" s="11"/>
      <c r="L381" s="11"/>
      <c r="M381" s="11"/>
      <c r="N381" s="11"/>
      <c r="O381" s="11"/>
      <c r="Q381" s="8">
        <f t="shared" si="57"/>
        <v>0</v>
      </c>
      <c r="S381" s="8">
        <f t="shared" si="58"/>
        <v>0</v>
      </c>
      <c r="T381" s="8">
        <f t="shared" si="59"/>
        <v>0</v>
      </c>
      <c r="U381" s="8">
        <f t="shared" si="60"/>
        <v>0</v>
      </c>
      <c r="V381" s="8">
        <f t="shared" si="61"/>
        <v>0</v>
      </c>
      <c r="W381" s="8">
        <f t="shared" si="62"/>
        <v>0</v>
      </c>
    </row>
    <row r="382" spans="1:23" outlineLevel="1" x14ac:dyDescent="0.3">
      <c r="A382" s="11"/>
      <c r="B382" s="11"/>
      <c r="C382" s="11"/>
      <c r="D382" s="11"/>
      <c r="E382" s="11"/>
      <c r="F382" s="11"/>
      <c r="G382" s="11"/>
      <c r="H382" s="11"/>
      <c r="I382" s="11"/>
      <c r="J382" s="11"/>
      <c r="K382" s="11"/>
      <c r="L382" s="11"/>
      <c r="M382" s="11"/>
      <c r="N382" s="11"/>
      <c r="O382" s="11"/>
      <c r="Q382" s="8">
        <f t="shared" si="57"/>
        <v>0</v>
      </c>
      <c r="S382" s="8">
        <f t="shared" si="58"/>
        <v>0</v>
      </c>
      <c r="T382" s="8">
        <f t="shared" si="59"/>
        <v>0</v>
      </c>
      <c r="U382" s="8">
        <f t="shared" si="60"/>
        <v>0</v>
      </c>
      <c r="V382" s="8">
        <f t="shared" si="61"/>
        <v>0</v>
      </c>
      <c r="W382" s="8">
        <f t="shared" si="62"/>
        <v>0</v>
      </c>
    </row>
    <row r="383" spans="1:23" outlineLevel="1" x14ac:dyDescent="0.3">
      <c r="A383" s="11"/>
      <c r="B383" s="11"/>
      <c r="C383" s="11"/>
      <c r="D383" s="11"/>
      <c r="E383" s="11"/>
      <c r="F383" s="11"/>
      <c r="G383" s="11"/>
      <c r="H383" s="11"/>
      <c r="I383" s="11"/>
      <c r="J383" s="11"/>
      <c r="K383" s="11"/>
      <c r="L383" s="11"/>
      <c r="M383" s="11"/>
      <c r="N383" s="11"/>
      <c r="O383" s="11"/>
      <c r="Q383" s="8">
        <f t="shared" si="57"/>
        <v>0</v>
      </c>
      <c r="S383" s="8">
        <f t="shared" si="58"/>
        <v>0</v>
      </c>
      <c r="T383" s="8">
        <f t="shared" si="59"/>
        <v>0</v>
      </c>
      <c r="U383" s="8">
        <f t="shared" si="60"/>
        <v>0</v>
      </c>
      <c r="V383" s="8">
        <f t="shared" si="61"/>
        <v>0</v>
      </c>
      <c r="W383" s="8">
        <f t="shared" si="62"/>
        <v>0</v>
      </c>
    </row>
    <row r="384" spans="1:23" outlineLevel="1" x14ac:dyDescent="0.3">
      <c r="A384" s="11"/>
      <c r="B384" s="11"/>
      <c r="C384" s="11"/>
      <c r="D384" s="11"/>
      <c r="E384" s="11"/>
      <c r="F384" s="11"/>
      <c r="G384" s="11"/>
      <c r="H384" s="11"/>
      <c r="I384" s="11"/>
      <c r="J384" s="11"/>
      <c r="K384" s="11"/>
      <c r="L384" s="11"/>
      <c r="M384" s="11"/>
      <c r="N384" s="11"/>
      <c r="O384" s="11"/>
      <c r="Q384" s="8">
        <f t="shared" si="57"/>
        <v>0</v>
      </c>
      <c r="S384" s="8">
        <f t="shared" si="58"/>
        <v>0</v>
      </c>
      <c r="T384" s="8">
        <f t="shared" si="59"/>
        <v>0</v>
      </c>
      <c r="U384" s="8">
        <f t="shared" si="60"/>
        <v>0</v>
      </c>
      <c r="V384" s="8">
        <f t="shared" si="61"/>
        <v>0</v>
      </c>
      <c r="W384" s="8">
        <f t="shared" si="62"/>
        <v>0</v>
      </c>
    </row>
    <row r="385" spans="1:23" outlineLevel="1" x14ac:dyDescent="0.3">
      <c r="A385" s="11"/>
      <c r="B385" s="11"/>
      <c r="C385" s="11"/>
      <c r="D385" s="11"/>
      <c r="E385" s="11"/>
      <c r="F385" s="11"/>
      <c r="G385" s="11"/>
      <c r="H385" s="11"/>
      <c r="I385" s="11"/>
      <c r="J385" s="11"/>
      <c r="K385" s="11"/>
      <c r="L385" s="11"/>
      <c r="M385" s="11"/>
      <c r="N385" s="11"/>
      <c r="O385" s="11"/>
      <c r="Q385" s="8">
        <f t="shared" si="57"/>
        <v>0</v>
      </c>
      <c r="S385" s="8">
        <f t="shared" si="58"/>
        <v>0</v>
      </c>
      <c r="T385" s="8">
        <f t="shared" si="59"/>
        <v>0</v>
      </c>
      <c r="U385" s="8">
        <f t="shared" si="60"/>
        <v>0</v>
      </c>
      <c r="V385" s="8">
        <f t="shared" si="61"/>
        <v>0</v>
      </c>
      <c r="W385" s="8">
        <f t="shared" si="62"/>
        <v>0</v>
      </c>
    </row>
    <row r="386" spans="1:23" outlineLevel="1" x14ac:dyDescent="0.3">
      <c r="A386" s="11"/>
      <c r="B386" s="11"/>
      <c r="C386" s="11"/>
      <c r="D386" s="11"/>
      <c r="E386" s="11"/>
      <c r="F386" s="11"/>
      <c r="G386" s="11"/>
      <c r="H386" s="11"/>
      <c r="I386" s="11"/>
      <c r="J386" s="11"/>
      <c r="K386" s="11"/>
      <c r="L386" s="11"/>
      <c r="M386" s="11"/>
      <c r="N386" s="11"/>
      <c r="O386" s="11"/>
      <c r="Q386" s="8">
        <f t="shared" si="57"/>
        <v>0</v>
      </c>
      <c r="S386" s="8">
        <f t="shared" si="58"/>
        <v>0</v>
      </c>
      <c r="T386" s="8">
        <f t="shared" si="59"/>
        <v>0</v>
      </c>
      <c r="U386" s="8">
        <f t="shared" si="60"/>
        <v>0</v>
      </c>
      <c r="V386" s="8">
        <f t="shared" si="61"/>
        <v>0</v>
      </c>
      <c r="W386" s="8">
        <f t="shared" si="62"/>
        <v>0</v>
      </c>
    </row>
    <row r="387" spans="1:23" outlineLevel="1" x14ac:dyDescent="0.3">
      <c r="A387" s="11"/>
      <c r="B387" s="11"/>
      <c r="C387" s="11"/>
      <c r="D387" s="11"/>
      <c r="E387" s="11"/>
      <c r="F387" s="11"/>
      <c r="G387" s="11"/>
      <c r="H387" s="11"/>
      <c r="I387" s="11"/>
      <c r="J387" s="11"/>
      <c r="K387" s="11"/>
      <c r="L387" s="11"/>
      <c r="M387" s="11"/>
      <c r="N387" s="11"/>
      <c r="O387" s="11"/>
      <c r="Q387" s="8">
        <f t="shared" si="57"/>
        <v>0</v>
      </c>
      <c r="S387" s="8">
        <f t="shared" si="58"/>
        <v>0</v>
      </c>
      <c r="T387" s="8">
        <f t="shared" si="59"/>
        <v>0</v>
      </c>
      <c r="U387" s="8">
        <f t="shared" si="60"/>
        <v>0</v>
      </c>
      <c r="V387" s="8">
        <f t="shared" si="61"/>
        <v>0</v>
      </c>
      <c r="W387" s="8">
        <f t="shared" si="62"/>
        <v>0</v>
      </c>
    </row>
    <row r="388" spans="1:23" outlineLevel="1" x14ac:dyDescent="0.3">
      <c r="A388" s="11"/>
      <c r="B388" s="11"/>
      <c r="C388" s="11"/>
      <c r="D388" s="11"/>
      <c r="E388" s="11"/>
      <c r="F388" s="11"/>
      <c r="G388" s="11"/>
      <c r="H388" s="11"/>
      <c r="I388" s="11"/>
      <c r="J388" s="11"/>
      <c r="K388" s="11"/>
      <c r="L388" s="11"/>
      <c r="M388" s="11"/>
      <c r="N388" s="11"/>
      <c r="O388" s="11"/>
      <c r="Q388" s="8">
        <f t="shared" si="57"/>
        <v>0</v>
      </c>
      <c r="S388" s="8">
        <f t="shared" si="58"/>
        <v>0</v>
      </c>
      <c r="T388" s="8">
        <f t="shared" si="59"/>
        <v>0</v>
      </c>
      <c r="U388" s="8">
        <f t="shared" si="60"/>
        <v>0</v>
      </c>
      <c r="V388" s="8">
        <f t="shared" si="61"/>
        <v>0</v>
      </c>
      <c r="W388" s="8">
        <f t="shared" si="62"/>
        <v>0</v>
      </c>
    </row>
    <row r="389" spans="1:23" outlineLevel="1" x14ac:dyDescent="0.3">
      <c r="A389" s="11"/>
      <c r="B389" s="11"/>
      <c r="C389" s="11"/>
      <c r="D389" s="11"/>
      <c r="E389" s="11"/>
      <c r="F389" s="11"/>
      <c r="G389" s="11"/>
      <c r="H389" s="11"/>
      <c r="I389" s="11"/>
      <c r="J389" s="11"/>
      <c r="K389" s="11"/>
      <c r="L389" s="11"/>
      <c r="M389" s="11"/>
      <c r="N389" s="11"/>
      <c r="O389" s="11"/>
      <c r="Q389" s="8">
        <f t="shared" si="57"/>
        <v>0</v>
      </c>
      <c r="S389" s="8">
        <f t="shared" si="58"/>
        <v>0</v>
      </c>
      <c r="T389" s="8">
        <f t="shared" si="59"/>
        <v>0</v>
      </c>
      <c r="U389" s="8">
        <f t="shared" si="60"/>
        <v>0</v>
      </c>
      <c r="V389" s="8">
        <f t="shared" si="61"/>
        <v>0</v>
      </c>
      <c r="W389" s="8">
        <f t="shared" si="62"/>
        <v>0</v>
      </c>
    </row>
    <row r="390" spans="1:23" outlineLevel="1" x14ac:dyDescent="0.3">
      <c r="A390" s="11"/>
      <c r="B390" s="11"/>
      <c r="C390" s="11"/>
      <c r="D390" s="11"/>
      <c r="E390" s="11"/>
      <c r="F390" s="11"/>
      <c r="G390" s="11"/>
      <c r="H390" s="11"/>
      <c r="I390" s="11"/>
      <c r="J390" s="11"/>
      <c r="K390" s="11"/>
      <c r="L390" s="11"/>
      <c r="M390" s="11"/>
      <c r="N390" s="11"/>
      <c r="O390" s="11"/>
      <c r="Q390" s="8">
        <f t="shared" si="57"/>
        <v>0</v>
      </c>
      <c r="S390" s="8">
        <f t="shared" si="58"/>
        <v>0</v>
      </c>
      <c r="T390" s="8">
        <f t="shared" si="59"/>
        <v>0</v>
      </c>
      <c r="U390" s="8">
        <f t="shared" si="60"/>
        <v>0</v>
      </c>
      <c r="V390" s="8">
        <f t="shared" si="61"/>
        <v>0</v>
      </c>
      <c r="W390" s="8">
        <f t="shared" si="62"/>
        <v>0</v>
      </c>
    </row>
    <row r="391" spans="1:23" outlineLevel="1" x14ac:dyDescent="0.3">
      <c r="A391" s="11"/>
      <c r="B391" s="11"/>
      <c r="C391" s="11"/>
      <c r="D391" s="11"/>
      <c r="E391" s="11"/>
      <c r="F391" s="11"/>
      <c r="G391" s="11"/>
      <c r="H391" s="11"/>
      <c r="I391" s="11"/>
      <c r="J391" s="11"/>
      <c r="K391" s="11"/>
      <c r="L391" s="11"/>
      <c r="M391" s="11"/>
      <c r="N391" s="11"/>
      <c r="O391" s="11"/>
      <c r="Q391" s="8">
        <f t="shared" si="57"/>
        <v>0</v>
      </c>
      <c r="S391" s="8">
        <f t="shared" si="58"/>
        <v>0</v>
      </c>
      <c r="T391" s="8">
        <f t="shared" si="59"/>
        <v>0</v>
      </c>
      <c r="U391" s="8">
        <f t="shared" si="60"/>
        <v>0</v>
      </c>
      <c r="V391" s="8">
        <f t="shared" si="61"/>
        <v>0</v>
      </c>
      <c r="W391" s="8">
        <f t="shared" si="62"/>
        <v>0</v>
      </c>
    </row>
    <row r="392" spans="1:23" outlineLevel="1" x14ac:dyDescent="0.3">
      <c r="A392" s="11"/>
      <c r="B392" s="11"/>
      <c r="C392" s="11"/>
      <c r="D392" s="11"/>
      <c r="E392" s="11"/>
      <c r="F392" s="11"/>
      <c r="G392" s="11"/>
      <c r="H392" s="11"/>
      <c r="I392" s="11"/>
      <c r="J392" s="11"/>
      <c r="K392" s="11"/>
      <c r="L392" s="11"/>
      <c r="M392" s="11"/>
      <c r="N392" s="11"/>
      <c r="O392" s="11"/>
      <c r="Q392" s="8">
        <f t="shared" si="57"/>
        <v>0</v>
      </c>
      <c r="S392" s="8">
        <f t="shared" si="58"/>
        <v>0</v>
      </c>
      <c r="T392" s="8">
        <f t="shared" si="59"/>
        <v>0</v>
      </c>
      <c r="U392" s="8">
        <f t="shared" si="60"/>
        <v>0</v>
      </c>
      <c r="V392" s="8">
        <f t="shared" si="61"/>
        <v>0</v>
      </c>
      <c r="W392" s="8">
        <f t="shared" si="62"/>
        <v>0</v>
      </c>
    </row>
    <row r="393" spans="1:23" outlineLevel="1" x14ac:dyDescent="0.3">
      <c r="A393" s="11"/>
      <c r="B393" s="11"/>
      <c r="C393" s="11"/>
      <c r="D393" s="11"/>
      <c r="E393" s="11"/>
      <c r="F393" s="11"/>
      <c r="G393" s="11"/>
      <c r="H393" s="11"/>
      <c r="I393" s="11"/>
      <c r="J393" s="11"/>
      <c r="K393" s="11"/>
      <c r="L393" s="11"/>
      <c r="M393" s="11"/>
      <c r="N393" s="11"/>
      <c r="O393" s="11"/>
      <c r="Q393" s="8">
        <f t="shared" si="57"/>
        <v>0</v>
      </c>
      <c r="S393" s="8">
        <f t="shared" si="58"/>
        <v>0</v>
      </c>
      <c r="T393" s="8">
        <f t="shared" si="59"/>
        <v>0</v>
      </c>
      <c r="U393" s="8">
        <f t="shared" si="60"/>
        <v>0</v>
      </c>
      <c r="V393" s="8">
        <f t="shared" si="61"/>
        <v>0</v>
      </c>
      <c r="W393" s="8">
        <f t="shared" si="62"/>
        <v>0</v>
      </c>
    </row>
    <row r="394" spans="1:23" outlineLevel="1" x14ac:dyDescent="0.3">
      <c r="A394" s="11"/>
      <c r="B394" s="11"/>
      <c r="C394" s="11"/>
      <c r="D394" s="11"/>
      <c r="E394" s="11"/>
      <c r="F394" s="11"/>
      <c r="G394" s="11"/>
      <c r="H394" s="11"/>
      <c r="I394" s="11"/>
      <c r="J394" s="11"/>
      <c r="K394" s="11"/>
      <c r="L394" s="11"/>
      <c r="M394" s="11"/>
      <c r="N394" s="11"/>
      <c r="O394" s="11"/>
      <c r="Q394" s="8">
        <f t="shared" si="57"/>
        <v>0</v>
      </c>
      <c r="S394" s="8">
        <f t="shared" si="58"/>
        <v>0</v>
      </c>
      <c r="T394" s="8">
        <f t="shared" si="59"/>
        <v>0</v>
      </c>
      <c r="U394" s="8">
        <f t="shared" si="60"/>
        <v>0</v>
      </c>
      <c r="V394" s="8">
        <f t="shared" si="61"/>
        <v>0</v>
      </c>
      <c r="W394" s="8">
        <f t="shared" si="62"/>
        <v>0</v>
      </c>
    </row>
    <row r="395" spans="1:23" outlineLevel="1" x14ac:dyDescent="0.3">
      <c r="A395" s="11"/>
      <c r="B395" s="11"/>
      <c r="C395" s="11"/>
      <c r="D395" s="11"/>
      <c r="E395" s="11"/>
      <c r="F395" s="11"/>
      <c r="G395" s="11"/>
      <c r="H395" s="11"/>
      <c r="I395" s="11"/>
      <c r="J395" s="11"/>
      <c r="K395" s="11"/>
      <c r="L395" s="11"/>
      <c r="M395" s="11"/>
      <c r="N395" s="11"/>
      <c r="O395" s="11"/>
      <c r="Q395" s="8">
        <f t="shared" si="57"/>
        <v>0</v>
      </c>
      <c r="S395" s="8">
        <f t="shared" si="58"/>
        <v>0</v>
      </c>
      <c r="T395" s="8">
        <f t="shared" si="59"/>
        <v>0</v>
      </c>
      <c r="U395" s="8">
        <f t="shared" si="60"/>
        <v>0</v>
      </c>
      <c r="V395" s="8">
        <f t="shared" si="61"/>
        <v>0</v>
      </c>
      <c r="W395" s="8">
        <f t="shared" si="62"/>
        <v>0</v>
      </c>
    </row>
    <row r="396" spans="1:23" outlineLevel="1" x14ac:dyDescent="0.3">
      <c r="A396" s="11"/>
      <c r="B396" s="11"/>
      <c r="C396" s="11"/>
      <c r="D396" s="11"/>
      <c r="E396" s="11"/>
      <c r="F396" s="11"/>
      <c r="G396" s="11"/>
      <c r="H396" s="11"/>
      <c r="I396" s="11"/>
      <c r="J396" s="11"/>
      <c r="K396" s="11"/>
      <c r="L396" s="11"/>
      <c r="M396" s="11"/>
      <c r="N396" s="11"/>
      <c r="O396" s="11"/>
      <c r="Q396" s="8">
        <f t="shared" si="57"/>
        <v>0</v>
      </c>
      <c r="S396" s="8">
        <f t="shared" si="58"/>
        <v>0</v>
      </c>
      <c r="T396" s="8">
        <f t="shared" si="59"/>
        <v>0</v>
      </c>
      <c r="U396" s="8">
        <f t="shared" si="60"/>
        <v>0</v>
      </c>
      <c r="V396" s="8">
        <f t="shared" si="61"/>
        <v>0</v>
      </c>
      <c r="W396" s="8">
        <f t="shared" si="62"/>
        <v>0</v>
      </c>
    </row>
    <row r="397" spans="1:23" outlineLevel="1" x14ac:dyDescent="0.3">
      <c r="A397" s="11"/>
      <c r="B397" s="11"/>
      <c r="C397" s="11"/>
      <c r="D397" s="11"/>
      <c r="E397" s="11"/>
      <c r="F397" s="11"/>
      <c r="G397" s="11"/>
      <c r="H397" s="11"/>
      <c r="I397" s="11"/>
      <c r="J397" s="11"/>
      <c r="K397" s="11"/>
      <c r="L397" s="11"/>
      <c r="M397" s="11"/>
      <c r="N397" s="11"/>
      <c r="O397" s="11"/>
      <c r="Q397" s="8">
        <f t="shared" si="57"/>
        <v>0</v>
      </c>
      <c r="S397" s="8">
        <f t="shared" si="58"/>
        <v>0</v>
      </c>
      <c r="T397" s="8">
        <f t="shared" si="59"/>
        <v>0</v>
      </c>
      <c r="U397" s="8">
        <f t="shared" si="60"/>
        <v>0</v>
      </c>
      <c r="V397" s="8">
        <f t="shared" si="61"/>
        <v>0</v>
      </c>
      <c r="W397" s="8">
        <f t="shared" si="62"/>
        <v>0</v>
      </c>
    </row>
    <row r="398" spans="1:23" outlineLevel="1" x14ac:dyDescent="0.3">
      <c r="A398" s="11"/>
      <c r="B398" s="11"/>
      <c r="C398" s="11"/>
      <c r="D398" s="11"/>
      <c r="E398" s="11"/>
      <c r="F398" s="11"/>
      <c r="G398" s="11"/>
      <c r="H398" s="11"/>
      <c r="I398" s="11"/>
      <c r="J398" s="11"/>
      <c r="K398" s="11"/>
      <c r="L398" s="11"/>
      <c r="M398" s="11"/>
      <c r="N398" s="11"/>
      <c r="O398" s="11"/>
      <c r="Q398" s="8">
        <f t="shared" si="57"/>
        <v>0</v>
      </c>
      <c r="S398" s="8">
        <f t="shared" si="58"/>
        <v>0</v>
      </c>
      <c r="T398" s="8">
        <f t="shared" si="59"/>
        <v>0</v>
      </c>
      <c r="U398" s="8">
        <f t="shared" si="60"/>
        <v>0</v>
      </c>
      <c r="V398" s="8">
        <f t="shared" si="61"/>
        <v>0</v>
      </c>
      <c r="W398" s="8">
        <f t="shared" si="62"/>
        <v>0</v>
      </c>
    </row>
    <row r="399" spans="1:23" outlineLevel="1" x14ac:dyDescent="0.3">
      <c r="A399" s="11"/>
      <c r="B399" s="11"/>
      <c r="C399" s="11"/>
      <c r="D399" s="11"/>
      <c r="E399" s="11"/>
      <c r="F399" s="11"/>
      <c r="G399" s="11"/>
      <c r="H399" s="11"/>
      <c r="I399" s="11"/>
      <c r="J399" s="11"/>
      <c r="K399" s="11"/>
      <c r="L399" s="11"/>
      <c r="M399" s="11"/>
      <c r="N399" s="11"/>
      <c r="O399" s="11"/>
      <c r="Q399" s="8">
        <f t="shared" si="57"/>
        <v>0</v>
      </c>
      <c r="S399" s="8">
        <f t="shared" si="58"/>
        <v>0</v>
      </c>
      <c r="T399" s="8">
        <f t="shared" si="59"/>
        <v>0</v>
      </c>
      <c r="U399" s="8">
        <f t="shared" si="60"/>
        <v>0</v>
      </c>
      <c r="V399" s="8">
        <f t="shared" si="61"/>
        <v>0</v>
      </c>
      <c r="W399" s="8">
        <f t="shared" si="62"/>
        <v>0</v>
      </c>
    </row>
    <row r="400" spans="1:23" outlineLevel="1" x14ac:dyDescent="0.3">
      <c r="A400" s="11"/>
      <c r="B400" s="11"/>
      <c r="C400" s="11"/>
      <c r="D400" s="11"/>
      <c r="E400" s="11"/>
      <c r="F400" s="11"/>
      <c r="G400" s="11"/>
      <c r="H400" s="11"/>
      <c r="I400" s="11"/>
      <c r="J400" s="11"/>
      <c r="K400" s="11"/>
      <c r="L400" s="11"/>
      <c r="M400" s="11"/>
      <c r="N400" s="11"/>
      <c r="O400" s="11"/>
      <c r="Q400" s="8">
        <f t="shared" si="57"/>
        <v>0</v>
      </c>
      <c r="S400" s="8">
        <f t="shared" si="58"/>
        <v>0</v>
      </c>
      <c r="T400" s="8">
        <f t="shared" si="59"/>
        <v>0</v>
      </c>
      <c r="U400" s="8">
        <f t="shared" si="60"/>
        <v>0</v>
      </c>
      <c r="V400" s="8">
        <f t="shared" si="61"/>
        <v>0</v>
      </c>
      <c r="W400" s="8">
        <f t="shared" si="62"/>
        <v>0</v>
      </c>
    </row>
    <row r="401" spans="1:23" outlineLevel="1" x14ac:dyDescent="0.3">
      <c r="A401" s="11"/>
      <c r="B401" s="11"/>
      <c r="C401" s="11"/>
      <c r="D401" s="11"/>
      <c r="E401" s="11"/>
      <c r="F401" s="11"/>
      <c r="G401" s="11"/>
      <c r="H401" s="11"/>
      <c r="I401" s="11"/>
      <c r="J401" s="11"/>
      <c r="K401" s="11"/>
      <c r="L401" s="11"/>
      <c r="M401" s="11"/>
      <c r="N401" s="11"/>
      <c r="O401" s="11"/>
      <c r="Q401" s="8">
        <f t="shared" si="57"/>
        <v>0</v>
      </c>
      <c r="S401" s="8">
        <f t="shared" si="58"/>
        <v>0</v>
      </c>
      <c r="T401" s="8">
        <f t="shared" si="59"/>
        <v>0</v>
      </c>
      <c r="U401" s="8">
        <f t="shared" si="60"/>
        <v>0</v>
      </c>
      <c r="V401" s="8">
        <f t="shared" si="61"/>
        <v>0</v>
      </c>
      <c r="W401" s="8">
        <f t="shared" si="62"/>
        <v>0</v>
      </c>
    </row>
    <row r="402" spans="1:23" outlineLevel="1" x14ac:dyDescent="0.3">
      <c r="A402" s="11"/>
      <c r="B402" s="11"/>
      <c r="C402" s="11"/>
      <c r="D402" s="11"/>
      <c r="E402" s="11"/>
      <c r="F402" s="11"/>
      <c r="G402" s="11"/>
      <c r="H402" s="11"/>
      <c r="I402" s="11"/>
      <c r="J402" s="11"/>
      <c r="K402" s="11"/>
      <c r="L402" s="11"/>
      <c r="M402" s="11"/>
      <c r="N402" s="11"/>
      <c r="O402" s="11"/>
      <c r="Q402" s="8">
        <f t="shared" si="57"/>
        <v>0</v>
      </c>
      <c r="S402" s="8">
        <f t="shared" si="58"/>
        <v>0</v>
      </c>
      <c r="T402" s="8">
        <f t="shared" si="59"/>
        <v>0</v>
      </c>
      <c r="U402" s="8">
        <f t="shared" si="60"/>
        <v>0</v>
      </c>
      <c r="V402" s="8">
        <f t="shared" si="61"/>
        <v>0</v>
      </c>
      <c r="W402" s="8">
        <f t="shared" si="62"/>
        <v>0</v>
      </c>
    </row>
    <row r="403" spans="1:23" outlineLevel="1" x14ac:dyDescent="0.3">
      <c r="A403" s="11"/>
      <c r="B403" s="11"/>
      <c r="C403" s="11"/>
      <c r="D403" s="11"/>
      <c r="E403" s="11"/>
      <c r="F403" s="11"/>
      <c r="G403" s="11"/>
      <c r="H403" s="11"/>
      <c r="I403" s="11"/>
      <c r="J403" s="11"/>
      <c r="K403" s="11"/>
      <c r="L403" s="11"/>
      <c r="M403" s="11"/>
      <c r="N403" s="11"/>
      <c r="O403" s="11"/>
      <c r="Q403" s="8">
        <f t="shared" si="57"/>
        <v>0</v>
      </c>
      <c r="S403" s="8">
        <f t="shared" si="58"/>
        <v>0</v>
      </c>
      <c r="T403" s="8">
        <f t="shared" si="59"/>
        <v>0</v>
      </c>
      <c r="U403" s="8">
        <f t="shared" si="60"/>
        <v>0</v>
      </c>
      <c r="V403" s="8">
        <f t="shared" si="61"/>
        <v>0</v>
      </c>
      <c r="W403" s="8">
        <f t="shared" si="62"/>
        <v>0</v>
      </c>
    </row>
    <row r="404" spans="1:23" outlineLevel="1" x14ac:dyDescent="0.3">
      <c r="A404" s="11"/>
      <c r="B404" s="11"/>
      <c r="C404" s="11"/>
      <c r="D404" s="11"/>
      <c r="E404" s="11"/>
      <c r="F404" s="11"/>
      <c r="G404" s="11"/>
      <c r="H404" s="11"/>
      <c r="I404" s="11"/>
      <c r="J404" s="11"/>
      <c r="K404" s="11"/>
      <c r="L404" s="11"/>
      <c r="M404" s="11"/>
      <c r="N404" s="11"/>
      <c r="O404" s="11"/>
      <c r="Q404" s="8">
        <f t="shared" si="57"/>
        <v>0</v>
      </c>
      <c r="S404" s="8">
        <f t="shared" si="58"/>
        <v>0</v>
      </c>
      <c r="T404" s="8">
        <f t="shared" si="59"/>
        <v>0</v>
      </c>
      <c r="U404" s="8">
        <f t="shared" si="60"/>
        <v>0</v>
      </c>
      <c r="V404" s="8">
        <f t="shared" si="61"/>
        <v>0</v>
      </c>
      <c r="W404" s="8">
        <f t="shared" si="62"/>
        <v>0</v>
      </c>
    </row>
    <row r="405" spans="1:23" outlineLevel="1" x14ac:dyDescent="0.3">
      <c r="A405" s="11"/>
      <c r="B405" s="11"/>
      <c r="C405" s="11"/>
      <c r="D405" s="11"/>
      <c r="E405" s="11"/>
      <c r="F405" s="11"/>
      <c r="G405" s="11"/>
      <c r="H405" s="11"/>
      <c r="I405" s="11"/>
      <c r="J405" s="11"/>
      <c r="K405" s="11"/>
      <c r="L405" s="11"/>
      <c r="M405" s="11"/>
      <c r="N405" s="11"/>
      <c r="O405" s="11"/>
      <c r="Q405" s="8">
        <f t="shared" si="57"/>
        <v>0</v>
      </c>
      <c r="S405" s="8">
        <f t="shared" si="58"/>
        <v>0</v>
      </c>
      <c r="T405" s="8">
        <f t="shared" si="59"/>
        <v>0</v>
      </c>
      <c r="U405" s="8">
        <f t="shared" si="60"/>
        <v>0</v>
      </c>
      <c r="V405" s="8">
        <f t="shared" si="61"/>
        <v>0</v>
      </c>
      <c r="W405" s="8">
        <f t="shared" si="62"/>
        <v>0</v>
      </c>
    </row>
    <row r="406" spans="1:23" outlineLevel="1" x14ac:dyDescent="0.3">
      <c r="A406" s="11"/>
      <c r="B406" s="11"/>
      <c r="C406" s="11"/>
      <c r="D406" s="11"/>
      <c r="E406" s="11"/>
      <c r="F406" s="11"/>
      <c r="G406" s="11"/>
      <c r="H406" s="11"/>
      <c r="I406" s="11"/>
      <c r="J406" s="11"/>
      <c r="K406" s="11"/>
      <c r="L406" s="11"/>
      <c r="M406" s="11"/>
      <c r="N406" s="11"/>
      <c r="O406" s="11"/>
      <c r="Q406" s="8">
        <f t="shared" si="57"/>
        <v>0</v>
      </c>
      <c r="S406" s="8">
        <f t="shared" si="58"/>
        <v>0</v>
      </c>
      <c r="T406" s="8">
        <f t="shared" si="59"/>
        <v>0</v>
      </c>
      <c r="U406" s="8">
        <f t="shared" si="60"/>
        <v>0</v>
      </c>
      <c r="V406" s="8">
        <f t="shared" si="61"/>
        <v>0</v>
      </c>
      <c r="W406" s="8">
        <f t="shared" si="62"/>
        <v>0</v>
      </c>
    </row>
    <row r="407" spans="1:23" outlineLevel="1" x14ac:dyDescent="0.3">
      <c r="A407" s="11"/>
      <c r="B407" s="11"/>
      <c r="C407" s="11"/>
      <c r="D407" s="11"/>
      <c r="E407" s="11"/>
      <c r="F407" s="11"/>
      <c r="G407" s="11"/>
      <c r="H407" s="11"/>
      <c r="I407" s="11"/>
      <c r="J407" s="11"/>
      <c r="K407" s="11"/>
      <c r="L407" s="11"/>
      <c r="M407" s="11"/>
      <c r="N407" s="11"/>
      <c r="O407" s="11"/>
      <c r="Q407" s="8">
        <f t="shared" si="57"/>
        <v>0</v>
      </c>
      <c r="S407" s="8">
        <f t="shared" si="58"/>
        <v>0</v>
      </c>
      <c r="T407" s="8">
        <f t="shared" si="59"/>
        <v>0</v>
      </c>
      <c r="U407" s="8">
        <f t="shared" si="60"/>
        <v>0</v>
      </c>
      <c r="V407" s="8">
        <f t="shared" si="61"/>
        <v>0</v>
      </c>
      <c r="W407" s="8">
        <f t="shared" si="62"/>
        <v>0</v>
      </c>
    </row>
    <row r="408" spans="1:23" outlineLevel="1" x14ac:dyDescent="0.3">
      <c r="A408" s="11"/>
      <c r="B408" s="11"/>
      <c r="C408" s="11"/>
      <c r="D408" s="11"/>
      <c r="E408" s="11"/>
      <c r="F408" s="11"/>
      <c r="G408" s="11"/>
      <c r="H408" s="11"/>
      <c r="I408" s="11"/>
      <c r="J408" s="11"/>
      <c r="K408" s="11"/>
      <c r="L408" s="11"/>
      <c r="M408" s="11"/>
      <c r="N408" s="11"/>
      <c r="O408" s="11"/>
      <c r="Q408" s="8">
        <f t="shared" si="57"/>
        <v>0</v>
      </c>
      <c r="S408" s="8">
        <f t="shared" si="58"/>
        <v>0</v>
      </c>
      <c r="T408" s="8">
        <f t="shared" si="59"/>
        <v>0</v>
      </c>
      <c r="U408" s="8">
        <f t="shared" si="60"/>
        <v>0</v>
      </c>
      <c r="V408" s="8">
        <f t="shared" si="61"/>
        <v>0</v>
      </c>
      <c r="W408" s="8">
        <f t="shared" si="62"/>
        <v>0</v>
      </c>
    </row>
    <row r="409" spans="1:23" outlineLevel="1" x14ac:dyDescent="0.3">
      <c r="A409" s="11"/>
      <c r="B409" s="11"/>
      <c r="C409" s="11"/>
      <c r="D409" s="11"/>
      <c r="E409" s="11"/>
      <c r="F409" s="11"/>
      <c r="G409" s="11"/>
      <c r="H409" s="11"/>
      <c r="I409" s="11"/>
      <c r="J409" s="11"/>
      <c r="K409" s="11"/>
      <c r="L409" s="11"/>
      <c r="M409" s="11"/>
      <c r="N409" s="11"/>
      <c r="O409" s="11"/>
      <c r="Q409" s="8">
        <f t="shared" si="57"/>
        <v>0</v>
      </c>
      <c r="S409" s="8">
        <f t="shared" si="58"/>
        <v>0</v>
      </c>
      <c r="T409" s="8">
        <f t="shared" si="59"/>
        <v>0</v>
      </c>
      <c r="U409" s="8">
        <f t="shared" si="60"/>
        <v>0</v>
      </c>
      <c r="V409" s="8">
        <f t="shared" si="61"/>
        <v>0</v>
      </c>
      <c r="W409" s="8">
        <f t="shared" si="62"/>
        <v>0</v>
      </c>
    </row>
    <row r="410" spans="1:23" outlineLevel="1" x14ac:dyDescent="0.3">
      <c r="A410" s="11"/>
      <c r="B410" s="11"/>
      <c r="C410" s="11"/>
      <c r="D410" s="11"/>
      <c r="E410" s="11"/>
      <c r="F410" s="11"/>
      <c r="G410" s="11"/>
      <c r="H410" s="11"/>
      <c r="I410" s="11"/>
      <c r="J410" s="11"/>
      <c r="K410" s="11"/>
      <c r="L410" s="11"/>
      <c r="M410" s="11"/>
      <c r="N410" s="11"/>
      <c r="O410" s="11"/>
      <c r="Q410" s="8">
        <f t="shared" si="57"/>
        <v>0</v>
      </c>
      <c r="S410" s="8">
        <f t="shared" si="58"/>
        <v>0</v>
      </c>
      <c r="T410" s="8">
        <f t="shared" si="59"/>
        <v>0</v>
      </c>
      <c r="U410" s="8">
        <f t="shared" si="60"/>
        <v>0</v>
      </c>
      <c r="V410" s="8">
        <f t="shared" si="61"/>
        <v>0</v>
      </c>
      <c r="W410" s="8">
        <f t="shared" si="62"/>
        <v>0</v>
      </c>
    </row>
    <row r="411" spans="1:23" outlineLevel="1" x14ac:dyDescent="0.3">
      <c r="A411" s="11"/>
      <c r="B411" s="11"/>
      <c r="C411" s="11"/>
      <c r="D411" s="11"/>
      <c r="E411" s="11"/>
      <c r="F411" s="11"/>
      <c r="G411" s="11"/>
      <c r="H411" s="11"/>
      <c r="I411" s="11"/>
      <c r="J411" s="11"/>
      <c r="K411" s="11"/>
      <c r="L411" s="11"/>
      <c r="M411" s="11"/>
      <c r="N411" s="11"/>
      <c r="O411" s="11"/>
      <c r="Q411" s="8">
        <f t="shared" si="57"/>
        <v>0</v>
      </c>
      <c r="S411" s="8">
        <f t="shared" si="58"/>
        <v>0</v>
      </c>
      <c r="T411" s="8">
        <f t="shared" si="59"/>
        <v>0</v>
      </c>
      <c r="U411" s="8">
        <f t="shared" si="60"/>
        <v>0</v>
      </c>
      <c r="V411" s="8">
        <f t="shared" si="61"/>
        <v>0</v>
      </c>
      <c r="W411" s="8">
        <f t="shared" si="62"/>
        <v>0</v>
      </c>
    </row>
    <row r="412" spans="1:23" outlineLevel="1" x14ac:dyDescent="0.3">
      <c r="A412" s="11"/>
      <c r="B412" s="11"/>
      <c r="C412" s="11"/>
      <c r="D412" s="11"/>
      <c r="E412" s="11"/>
      <c r="F412" s="11"/>
      <c r="G412" s="11"/>
      <c r="H412" s="11"/>
      <c r="I412" s="11"/>
      <c r="J412" s="11"/>
      <c r="K412" s="11"/>
      <c r="L412" s="11"/>
      <c r="M412" s="11"/>
      <c r="N412" s="11"/>
      <c r="O412" s="11"/>
      <c r="Q412" s="8">
        <f t="shared" si="57"/>
        <v>0</v>
      </c>
      <c r="S412" s="8">
        <f t="shared" si="58"/>
        <v>0</v>
      </c>
      <c r="T412" s="8">
        <f t="shared" si="59"/>
        <v>0</v>
      </c>
      <c r="U412" s="8">
        <f t="shared" si="60"/>
        <v>0</v>
      </c>
      <c r="V412" s="8">
        <f t="shared" si="61"/>
        <v>0</v>
      </c>
      <c r="W412" s="8">
        <f t="shared" si="62"/>
        <v>0</v>
      </c>
    </row>
    <row r="413" spans="1:23" outlineLevel="1" x14ac:dyDescent="0.3">
      <c r="A413" s="11"/>
      <c r="B413" s="11"/>
      <c r="C413" s="11"/>
      <c r="D413" s="11"/>
      <c r="E413" s="11"/>
      <c r="F413" s="11"/>
      <c r="G413" s="11"/>
      <c r="H413" s="11"/>
      <c r="I413" s="11"/>
      <c r="J413" s="11"/>
      <c r="K413" s="11"/>
      <c r="L413" s="11"/>
      <c r="M413" s="11"/>
      <c r="N413" s="11"/>
      <c r="O413" s="11"/>
      <c r="Q413" s="8">
        <f t="shared" si="57"/>
        <v>0</v>
      </c>
      <c r="S413" s="8">
        <f t="shared" si="58"/>
        <v>0</v>
      </c>
      <c r="T413" s="8">
        <f t="shared" si="59"/>
        <v>0</v>
      </c>
      <c r="U413" s="8">
        <f t="shared" si="60"/>
        <v>0</v>
      </c>
      <c r="V413" s="8">
        <f t="shared" si="61"/>
        <v>0</v>
      </c>
      <c r="W413" s="8">
        <f t="shared" si="62"/>
        <v>0</v>
      </c>
    </row>
    <row r="414" spans="1:23" outlineLevel="1" x14ac:dyDescent="0.3">
      <c r="A414" s="11"/>
      <c r="B414" s="11"/>
      <c r="C414" s="11"/>
      <c r="D414" s="11"/>
      <c r="E414" s="11"/>
      <c r="F414" s="11"/>
      <c r="G414" s="11"/>
      <c r="H414" s="11"/>
      <c r="I414" s="11"/>
      <c r="J414" s="11"/>
      <c r="K414" s="11"/>
      <c r="L414" s="11"/>
      <c r="M414" s="11"/>
      <c r="N414" s="11"/>
      <c r="O414" s="11"/>
      <c r="Q414" s="8">
        <f t="shared" si="57"/>
        <v>0</v>
      </c>
      <c r="S414" s="8">
        <f t="shared" si="58"/>
        <v>0</v>
      </c>
      <c r="T414" s="8">
        <f t="shared" si="59"/>
        <v>0</v>
      </c>
      <c r="U414" s="8">
        <f t="shared" si="60"/>
        <v>0</v>
      </c>
      <c r="V414" s="8">
        <f t="shared" si="61"/>
        <v>0</v>
      </c>
      <c r="W414" s="8">
        <f t="shared" si="62"/>
        <v>0</v>
      </c>
    </row>
    <row r="415" spans="1:23" outlineLevel="1" x14ac:dyDescent="0.3">
      <c r="A415" s="11"/>
      <c r="B415" s="11"/>
      <c r="C415" s="11"/>
      <c r="D415" s="11"/>
      <c r="E415" s="11"/>
      <c r="F415" s="11"/>
      <c r="G415" s="11"/>
      <c r="H415" s="11"/>
      <c r="I415" s="11"/>
      <c r="J415" s="11"/>
      <c r="K415" s="11"/>
      <c r="L415" s="11"/>
      <c r="M415" s="11"/>
      <c r="N415" s="11"/>
      <c r="O415" s="11"/>
      <c r="Q415" s="8">
        <f t="shared" si="57"/>
        <v>0</v>
      </c>
      <c r="S415" s="8">
        <f t="shared" si="58"/>
        <v>0</v>
      </c>
      <c r="T415" s="8">
        <f t="shared" si="59"/>
        <v>0</v>
      </c>
      <c r="U415" s="8">
        <f t="shared" si="60"/>
        <v>0</v>
      </c>
      <c r="V415" s="8">
        <f t="shared" si="61"/>
        <v>0</v>
      </c>
      <c r="W415" s="8">
        <f t="shared" si="62"/>
        <v>0</v>
      </c>
    </row>
    <row r="416" spans="1:23" outlineLevel="1" x14ac:dyDescent="0.3">
      <c r="A416" s="11"/>
      <c r="B416" s="11"/>
      <c r="C416" s="11"/>
      <c r="D416" s="11"/>
      <c r="E416" s="11"/>
      <c r="F416" s="11"/>
      <c r="G416" s="11"/>
      <c r="H416" s="11"/>
      <c r="I416" s="11"/>
      <c r="J416" s="11"/>
      <c r="K416" s="11"/>
      <c r="L416" s="11"/>
      <c r="M416" s="11"/>
      <c r="N416" s="11"/>
      <c r="O416" s="11"/>
      <c r="Q416" s="8">
        <f t="shared" si="57"/>
        <v>0</v>
      </c>
      <c r="S416" s="8">
        <f t="shared" si="58"/>
        <v>0</v>
      </c>
      <c r="T416" s="8">
        <f t="shared" si="59"/>
        <v>0</v>
      </c>
      <c r="U416" s="8">
        <f t="shared" si="60"/>
        <v>0</v>
      </c>
      <c r="V416" s="8">
        <f t="shared" si="61"/>
        <v>0</v>
      </c>
      <c r="W416" s="8">
        <f t="shared" si="62"/>
        <v>0</v>
      </c>
    </row>
    <row r="417" spans="1:23" outlineLevel="1" x14ac:dyDescent="0.3">
      <c r="A417" s="11"/>
      <c r="B417" s="11"/>
      <c r="C417" s="11"/>
      <c r="D417" s="11"/>
      <c r="E417" s="11"/>
      <c r="F417" s="11"/>
      <c r="G417" s="11"/>
      <c r="H417" s="11"/>
      <c r="I417" s="11"/>
      <c r="J417" s="11"/>
      <c r="K417" s="11"/>
      <c r="L417" s="11"/>
      <c r="M417" s="11"/>
      <c r="N417" s="11"/>
      <c r="O417" s="11"/>
      <c r="Q417" s="8">
        <f t="shared" si="57"/>
        <v>0</v>
      </c>
      <c r="S417" s="8">
        <f t="shared" si="58"/>
        <v>0</v>
      </c>
      <c r="T417" s="8">
        <f t="shared" si="59"/>
        <v>0</v>
      </c>
      <c r="U417" s="8">
        <f t="shared" si="60"/>
        <v>0</v>
      </c>
      <c r="V417" s="8">
        <f t="shared" si="61"/>
        <v>0</v>
      </c>
      <c r="W417" s="8">
        <f t="shared" si="62"/>
        <v>0</v>
      </c>
    </row>
    <row r="418" spans="1:23" outlineLevel="1" x14ac:dyDescent="0.3">
      <c r="A418" s="11"/>
      <c r="B418" s="11"/>
      <c r="C418" s="11"/>
      <c r="D418" s="11"/>
      <c r="E418" s="11"/>
      <c r="F418" s="11"/>
      <c r="G418" s="11"/>
      <c r="H418" s="11"/>
      <c r="I418" s="11"/>
      <c r="J418" s="11"/>
      <c r="K418" s="11"/>
      <c r="L418" s="11"/>
      <c r="M418" s="11"/>
      <c r="N418" s="11"/>
      <c r="O418" s="11"/>
      <c r="Q418" s="8">
        <f t="shared" si="57"/>
        <v>0</v>
      </c>
      <c r="S418" s="8">
        <f t="shared" si="58"/>
        <v>0</v>
      </c>
      <c r="T418" s="8">
        <f t="shared" si="59"/>
        <v>0</v>
      </c>
      <c r="U418" s="8">
        <f t="shared" si="60"/>
        <v>0</v>
      </c>
      <c r="V418" s="8">
        <f t="shared" si="61"/>
        <v>0</v>
      </c>
      <c r="W418" s="8">
        <f t="shared" si="62"/>
        <v>0</v>
      </c>
    </row>
    <row r="419" spans="1:23" outlineLevel="1" x14ac:dyDescent="0.3">
      <c r="A419" s="11"/>
      <c r="B419" s="11"/>
      <c r="C419" s="11"/>
      <c r="D419" s="11"/>
      <c r="E419" s="11"/>
      <c r="F419" s="11"/>
      <c r="G419" s="11"/>
      <c r="H419" s="11"/>
      <c r="I419" s="11"/>
      <c r="J419" s="11"/>
      <c r="K419" s="11"/>
      <c r="L419" s="11"/>
      <c r="M419" s="11"/>
      <c r="N419" s="11"/>
      <c r="O419" s="11"/>
      <c r="Q419" s="8">
        <f t="shared" si="57"/>
        <v>0</v>
      </c>
      <c r="S419" s="8">
        <f t="shared" si="58"/>
        <v>0</v>
      </c>
      <c r="T419" s="8">
        <f t="shared" si="59"/>
        <v>0</v>
      </c>
      <c r="U419" s="8">
        <f t="shared" si="60"/>
        <v>0</v>
      </c>
      <c r="V419" s="8">
        <f t="shared" si="61"/>
        <v>0</v>
      </c>
      <c r="W419" s="8">
        <f t="shared" si="62"/>
        <v>0</v>
      </c>
    </row>
    <row r="420" spans="1:23" outlineLevel="1" x14ac:dyDescent="0.3">
      <c r="A420" s="11"/>
      <c r="B420" s="11"/>
      <c r="C420" s="11"/>
      <c r="D420" s="11"/>
      <c r="E420" s="11"/>
      <c r="F420" s="11"/>
      <c r="G420" s="11"/>
      <c r="H420" s="11"/>
      <c r="I420" s="11"/>
      <c r="J420" s="11"/>
      <c r="K420" s="11"/>
      <c r="L420" s="11"/>
      <c r="M420" s="11"/>
      <c r="N420" s="11"/>
      <c r="O420" s="11"/>
      <c r="Q420" s="8">
        <f t="shared" si="57"/>
        <v>0</v>
      </c>
      <c r="S420" s="8">
        <f t="shared" si="58"/>
        <v>0</v>
      </c>
      <c r="T420" s="8">
        <f t="shared" si="59"/>
        <v>0</v>
      </c>
      <c r="U420" s="8">
        <f t="shared" si="60"/>
        <v>0</v>
      </c>
      <c r="V420" s="8">
        <f t="shared" si="61"/>
        <v>0</v>
      </c>
      <c r="W420" s="8">
        <f t="shared" si="62"/>
        <v>0</v>
      </c>
    </row>
    <row r="421" spans="1:23" outlineLevel="1" x14ac:dyDescent="0.3">
      <c r="A421" s="11"/>
      <c r="B421" s="11"/>
      <c r="C421" s="11"/>
      <c r="D421" s="11"/>
      <c r="E421" s="11"/>
      <c r="F421" s="11"/>
      <c r="G421" s="11"/>
      <c r="H421" s="11"/>
      <c r="I421" s="11"/>
      <c r="J421" s="11"/>
      <c r="K421" s="11"/>
      <c r="L421" s="11"/>
      <c r="M421" s="11"/>
      <c r="N421" s="11"/>
      <c r="O421" s="11"/>
      <c r="Q421" s="8">
        <f t="shared" si="57"/>
        <v>0</v>
      </c>
      <c r="S421" s="8">
        <f t="shared" si="58"/>
        <v>0</v>
      </c>
      <c r="T421" s="8">
        <f t="shared" si="59"/>
        <v>0</v>
      </c>
      <c r="U421" s="8">
        <f t="shared" si="60"/>
        <v>0</v>
      </c>
      <c r="V421" s="8">
        <f t="shared" si="61"/>
        <v>0</v>
      </c>
      <c r="W421" s="8">
        <f t="shared" si="62"/>
        <v>0</v>
      </c>
    </row>
    <row r="422" spans="1:23" outlineLevel="1" x14ac:dyDescent="0.3">
      <c r="A422" s="11"/>
      <c r="B422" s="11"/>
      <c r="C422" s="11"/>
      <c r="D422" s="11"/>
      <c r="E422" s="11"/>
      <c r="F422" s="11"/>
      <c r="G422" s="11"/>
      <c r="H422" s="11"/>
      <c r="I422" s="11"/>
      <c r="J422" s="11"/>
      <c r="K422" s="11"/>
      <c r="L422" s="11"/>
      <c r="M422" s="11"/>
      <c r="N422" s="11"/>
      <c r="O422" s="11"/>
      <c r="Q422" s="8">
        <f t="shared" si="57"/>
        <v>0</v>
      </c>
      <c r="S422" s="8">
        <f t="shared" si="58"/>
        <v>0</v>
      </c>
      <c r="T422" s="8">
        <f t="shared" si="59"/>
        <v>0</v>
      </c>
      <c r="U422" s="8">
        <f t="shared" si="60"/>
        <v>0</v>
      </c>
      <c r="V422" s="8">
        <f t="shared" si="61"/>
        <v>0</v>
      </c>
      <c r="W422" s="8">
        <f t="shared" si="62"/>
        <v>0</v>
      </c>
    </row>
    <row r="423" spans="1:23" outlineLevel="1" x14ac:dyDescent="0.3">
      <c r="A423" s="11"/>
      <c r="B423" s="11"/>
      <c r="C423" s="11"/>
      <c r="D423" s="11"/>
      <c r="E423" s="11"/>
      <c r="F423" s="11"/>
      <c r="G423" s="11"/>
      <c r="H423" s="11"/>
      <c r="I423" s="11"/>
      <c r="J423" s="11"/>
      <c r="K423" s="11"/>
      <c r="L423" s="11"/>
      <c r="M423" s="11"/>
      <c r="N423" s="11"/>
      <c r="O423" s="11"/>
      <c r="Q423" s="8">
        <f t="shared" si="57"/>
        <v>0</v>
      </c>
      <c r="S423" s="8">
        <f t="shared" si="58"/>
        <v>0</v>
      </c>
      <c r="T423" s="8">
        <f t="shared" si="59"/>
        <v>0</v>
      </c>
      <c r="U423" s="8">
        <f t="shared" si="60"/>
        <v>0</v>
      </c>
      <c r="V423" s="8">
        <f t="shared" si="61"/>
        <v>0</v>
      </c>
      <c r="W423" s="8">
        <f t="shared" si="62"/>
        <v>0</v>
      </c>
    </row>
    <row r="424" spans="1:23" outlineLevel="1" x14ac:dyDescent="0.3">
      <c r="A424" s="11"/>
      <c r="B424" s="11"/>
      <c r="C424" s="11"/>
      <c r="D424" s="11"/>
      <c r="E424" s="11"/>
      <c r="F424" s="11"/>
      <c r="G424" s="11"/>
      <c r="H424" s="11"/>
      <c r="I424" s="11"/>
      <c r="J424" s="11"/>
      <c r="K424" s="11"/>
      <c r="L424" s="11"/>
      <c r="M424" s="11"/>
      <c r="N424" s="11"/>
      <c r="O424" s="11"/>
      <c r="Q424" s="8">
        <f t="shared" si="57"/>
        <v>0</v>
      </c>
      <c r="S424" s="8">
        <f t="shared" si="58"/>
        <v>0</v>
      </c>
      <c r="T424" s="8">
        <f t="shared" si="59"/>
        <v>0</v>
      </c>
      <c r="U424" s="8">
        <f t="shared" si="60"/>
        <v>0</v>
      </c>
      <c r="V424" s="8">
        <f t="shared" si="61"/>
        <v>0</v>
      </c>
      <c r="W424" s="8">
        <f t="shared" si="62"/>
        <v>0</v>
      </c>
    </row>
    <row r="425" spans="1:23" outlineLevel="1" x14ac:dyDescent="0.3">
      <c r="A425" s="11"/>
      <c r="B425" s="11"/>
      <c r="C425" s="11"/>
      <c r="D425" s="11"/>
      <c r="E425" s="11"/>
      <c r="F425" s="11"/>
      <c r="G425" s="11"/>
      <c r="H425" s="11"/>
      <c r="I425" s="11"/>
      <c r="J425" s="11"/>
      <c r="K425" s="11"/>
      <c r="L425" s="11"/>
      <c r="M425" s="11"/>
      <c r="N425" s="11"/>
      <c r="O425" s="11"/>
      <c r="Q425" s="8">
        <f t="shared" si="57"/>
        <v>0</v>
      </c>
      <c r="S425" s="8">
        <f t="shared" si="58"/>
        <v>0</v>
      </c>
      <c r="T425" s="8">
        <f t="shared" si="59"/>
        <v>0</v>
      </c>
      <c r="U425" s="8">
        <f t="shared" si="60"/>
        <v>0</v>
      </c>
      <c r="V425" s="8">
        <f t="shared" si="61"/>
        <v>0</v>
      </c>
      <c r="W425" s="8">
        <f t="shared" si="62"/>
        <v>0</v>
      </c>
    </row>
    <row r="426" spans="1:23" outlineLevel="1" x14ac:dyDescent="0.3">
      <c r="A426" s="11"/>
      <c r="B426" s="11"/>
      <c r="C426" s="11"/>
      <c r="D426" s="11"/>
      <c r="E426" s="11"/>
      <c r="F426" s="11"/>
      <c r="G426" s="11"/>
      <c r="H426" s="11"/>
      <c r="I426" s="11"/>
      <c r="J426" s="11"/>
      <c r="K426" s="11"/>
      <c r="L426" s="11"/>
      <c r="M426" s="11"/>
      <c r="N426" s="11"/>
      <c r="O426" s="11"/>
      <c r="Q426" s="8">
        <f t="shared" si="57"/>
        <v>0</v>
      </c>
      <c r="S426" s="8">
        <f t="shared" si="58"/>
        <v>0</v>
      </c>
      <c r="T426" s="8">
        <f t="shared" si="59"/>
        <v>0</v>
      </c>
      <c r="U426" s="8">
        <f t="shared" si="60"/>
        <v>0</v>
      </c>
      <c r="V426" s="8">
        <f t="shared" si="61"/>
        <v>0</v>
      </c>
      <c r="W426" s="8">
        <f t="shared" si="62"/>
        <v>0</v>
      </c>
    </row>
    <row r="427" spans="1:23" outlineLevel="1" x14ac:dyDescent="0.3">
      <c r="A427" s="11"/>
      <c r="B427" s="11"/>
      <c r="C427" s="11"/>
      <c r="D427" s="11"/>
      <c r="E427" s="11"/>
      <c r="F427" s="11"/>
      <c r="G427" s="11"/>
      <c r="H427" s="11"/>
      <c r="I427" s="11"/>
      <c r="J427" s="11"/>
      <c r="K427" s="11"/>
      <c r="L427" s="11"/>
      <c r="M427" s="11"/>
      <c r="N427" s="11"/>
      <c r="O427" s="11"/>
      <c r="Q427" s="8">
        <f t="shared" si="57"/>
        <v>0</v>
      </c>
      <c r="S427" s="8">
        <f t="shared" si="58"/>
        <v>0</v>
      </c>
      <c r="T427" s="8">
        <f t="shared" si="59"/>
        <v>0</v>
      </c>
      <c r="U427" s="8">
        <f t="shared" si="60"/>
        <v>0</v>
      </c>
      <c r="V427" s="8">
        <f t="shared" si="61"/>
        <v>0</v>
      </c>
      <c r="W427" s="8">
        <f t="shared" si="62"/>
        <v>0</v>
      </c>
    </row>
    <row r="428" spans="1:23" outlineLevel="1" x14ac:dyDescent="0.3">
      <c r="A428" s="11"/>
      <c r="B428" s="11"/>
      <c r="C428" s="11"/>
      <c r="D428" s="11"/>
      <c r="E428" s="11"/>
      <c r="F428" s="11"/>
      <c r="G428" s="11"/>
      <c r="H428" s="11"/>
      <c r="I428" s="11"/>
      <c r="J428" s="11"/>
      <c r="K428" s="11"/>
      <c r="L428" s="11"/>
      <c r="M428" s="11"/>
      <c r="N428" s="11"/>
      <c r="O428" s="11"/>
      <c r="Q428" s="8">
        <f t="shared" si="57"/>
        <v>0</v>
      </c>
      <c r="S428" s="8">
        <f t="shared" si="58"/>
        <v>0</v>
      </c>
      <c r="T428" s="8">
        <f t="shared" si="59"/>
        <v>0</v>
      </c>
      <c r="U428" s="8">
        <f t="shared" si="60"/>
        <v>0</v>
      </c>
      <c r="V428" s="8">
        <f t="shared" si="61"/>
        <v>0</v>
      </c>
      <c r="W428" s="8">
        <f t="shared" si="62"/>
        <v>0</v>
      </c>
    </row>
    <row r="429" spans="1:23" outlineLevel="1" x14ac:dyDescent="0.3">
      <c r="A429" s="11"/>
      <c r="B429" s="11"/>
      <c r="C429" s="11"/>
      <c r="D429" s="11"/>
      <c r="E429" s="11"/>
      <c r="F429" s="11"/>
      <c r="G429" s="11"/>
      <c r="H429" s="11"/>
      <c r="I429" s="11"/>
      <c r="J429" s="11"/>
      <c r="K429" s="11"/>
      <c r="L429" s="11"/>
      <c r="M429" s="11"/>
      <c r="N429" s="11"/>
      <c r="O429" s="11"/>
      <c r="Q429" s="8">
        <f t="shared" si="45"/>
        <v>0</v>
      </c>
      <c r="S429" s="8">
        <f t="shared" si="46"/>
        <v>0</v>
      </c>
      <c r="T429" s="8">
        <f t="shared" si="47"/>
        <v>0</v>
      </c>
      <c r="U429" s="8">
        <f t="shared" si="48"/>
        <v>0</v>
      </c>
      <c r="V429" s="8">
        <f t="shared" si="49"/>
        <v>0</v>
      </c>
      <c r="W429" s="8">
        <f t="shared" si="50"/>
        <v>0</v>
      </c>
    </row>
    <row r="430" spans="1:23" x14ac:dyDescent="0.3">
      <c r="A430" s="11"/>
      <c r="B430" s="11"/>
      <c r="C430" s="11"/>
      <c r="D430" s="11"/>
      <c r="E430" s="11"/>
      <c r="F430" s="11"/>
      <c r="G430" s="11"/>
      <c r="H430" s="11"/>
      <c r="I430" s="11"/>
      <c r="J430" s="11"/>
      <c r="K430" s="11"/>
      <c r="L430" s="11"/>
      <c r="M430" s="11"/>
      <c r="N430" s="11"/>
      <c r="O430" s="11"/>
      <c r="Q430" s="8">
        <f t="shared" si="45"/>
        <v>0</v>
      </c>
      <c r="S430" s="8">
        <f t="shared" si="46"/>
        <v>0</v>
      </c>
      <c r="T430" s="8">
        <f t="shared" si="47"/>
        <v>0</v>
      </c>
      <c r="U430" s="8">
        <f t="shared" si="48"/>
        <v>0</v>
      </c>
      <c r="V430" s="8">
        <f t="shared" si="49"/>
        <v>0</v>
      </c>
      <c r="W430" s="8">
        <f t="shared" si="50"/>
        <v>0</v>
      </c>
    </row>
    <row r="431" spans="1:23" x14ac:dyDescent="0.3">
      <c r="A431" s="2" t="s">
        <v>237</v>
      </c>
      <c r="B431" s="2" t="s">
        <v>237</v>
      </c>
    </row>
    <row r="432" spans="1:23" x14ac:dyDescent="0.3">
      <c r="D432" s="8">
        <f>+SUM(D105:D430)</f>
        <v>0</v>
      </c>
      <c r="E432" s="8">
        <f t="shared" ref="E432:O432" si="63">+SUM(E105:E430)</f>
        <v>0</v>
      </c>
      <c r="F432" s="8">
        <f t="shared" si="63"/>
        <v>0</v>
      </c>
      <c r="G432" s="8">
        <f t="shared" si="63"/>
        <v>0</v>
      </c>
      <c r="H432" s="8">
        <f t="shared" si="63"/>
        <v>0</v>
      </c>
      <c r="I432" s="8">
        <f t="shared" si="63"/>
        <v>0</v>
      </c>
      <c r="J432" s="8">
        <f t="shared" si="63"/>
        <v>0</v>
      </c>
      <c r="K432" s="8">
        <f t="shared" si="63"/>
        <v>0</v>
      </c>
      <c r="L432" s="8">
        <f t="shared" si="63"/>
        <v>0</v>
      </c>
      <c r="M432" s="8">
        <f t="shared" si="63"/>
        <v>0</v>
      </c>
      <c r="N432" s="8">
        <f t="shared" si="63"/>
        <v>0</v>
      </c>
      <c r="O432" s="8">
        <f t="shared" si="63"/>
        <v>0</v>
      </c>
      <c r="Q432" s="8">
        <f>SUM(Q105:Q430)</f>
        <v>0</v>
      </c>
      <c r="R432" s="8"/>
      <c r="S432" s="8">
        <f t="shared" ref="S432:W432" si="64">SUM(S105:S430)</f>
        <v>0</v>
      </c>
      <c r="T432" s="8">
        <f t="shared" si="64"/>
        <v>0</v>
      </c>
      <c r="U432" s="8">
        <f t="shared" si="64"/>
        <v>0</v>
      </c>
      <c r="V432" s="8">
        <f t="shared" si="64"/>
        <v>0</v>
      </c>
      <c r="W432" s="8">
        <f t="shared" si="64"/>
        <v>0</v>
      </c>
    </row>
    <row r="433" spans="4:23" x14ac:dyDescent="0.3">
      <c r="D433" s="8"/>
      <c r="E433" s="8"/>
      <c r="F433" s="8"/>
      <c r="G433" s="8"/>
      <c r="H433" s="8"/>
      <c r="I433" s="8"/>
      <c r="J433" s="8"/>
      <c r="K433" s="8"/>
      <c r="L433" s="8"/>
      <c r="M433" s="8"/>
      <c r="N433" s="8"/>
      <c r="O433" s="8"/>
      <c r="P433" s="2" t="s">
        <v>19</v>
      </c>
      <c r="Q433" s="8">
        <f>+Q432-SUM(D432:O432)</f>
        <v>0</v>
      </c>
    </row>
    <row r="434" spans="4:23" x14ac:dyDescent="0.3">
      <c r="D434" s="8"/>
      <c r="E434" s="8"/>
      <c r="F434" s="8"/>
      <c r="G434" s="8"/>
      <c r="H434" s="8"/>
      <c r="I434" s="8"/>
      <c r="J434" s="8"/>
      <c r="K434" s="8"/>
      <c r="L434" s="8"/>
      <c r="M434" s="8"/>
      <c r="N434" s="8"/>
      <c r="O434" s="8"/>
      <c r="Q434" s="8">
        <f t="shared" ref="Q434:R434" si="65">+Q101-Q432</f>
        <v>0</v>
      </c>
      <c r="R434" s="8">
        <f t="shared" si="65"/>
        <v>0</v>
      </c>
      <c r="S434" s="8">
        <f>+S101-S432</f>
        <v>0</v>
      </c>
      <c r="T434" s="8">
        <f t="shared" ref="T434:W434" si="66">+T101-T432</f>
        <v>0</v>
      </c>
      <c r="U434" s="8">
        <f t="shared" si="66"/>
        <v>0</v>
      </c>
      <c r="V434" s="8">
        <f t="shared" si="66"/>
        <v>0</v>
      </c>
      <c r="W434" s="8">
        <f t="shared" si="66"/>
        <v>0</v>
      </c>
    </row>
    <row r="439" spans="4:23" x14ac:dyDescent="0.3">
      <c r="Q439" s="8">
        <f>Q432-'Proforma (Annual)'!E112</f>
        <v>0</v>
      </c>
    </row>
  </sheetData>
  <pageMargins left="0.7" right="0.7" top="0.75" bottom="0.75" header="0.3" footer="0.3"/>
  <pageSetup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r:uid="{6027C410-9D4F-4542-83D9-910783787F8A}">
          <x14:formula1>
            <xm:f>'OpStatement List - Dropdowns'!$I$5:$I$53</xm:f>
          </x14:formula1>
          <xm:sqref>A7:A100</xm:sqref>
        </x14:dataValidation>
        <x14:dataValidation type="list" allowBlank="1" showInputMessage="1" showErrorMessage="1" xr:uid="{74BE9272-989C-4058-A6F9-DCBAA359C755}">
          <x14:formula1>
            <xm:f>'OpStatement List - Dropdowns'!$L$5:$L$43</xm:f>
          </x14:formula1>
          <xm:sqref>A282:A430</xm:sqref>
        </x14:dataValidation>
        <x14:dataValidation type="list" allowBlank="1" showInputMessage="1" showErrorMessage="1" xr:uid="{B9755AAC-63DD-44EB-89DB-161000D063C7}">
          <x14:formula1>
            <xm:f>'OpStatement List - Dropdowns'!$L$5:$L$53</xm:f>
          </x14:formula1>
          <xm:sqref>A54 A105:A281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43A32-47F3-47B2-99B7-9E0ADBAB8D1F}">
  <sheetPr>
    <tabColor theme="3" tint="0.249977111117893"/>
  </sheetPr>
  <dimension ref="B2:R110"/>
  <sheetViews>
    <sheetView workbookViewId="0">
      <selection activeCell="E20" sqref="E20"/>
    </sheetView>
  </sheetViews>
  <sheetFormatPr defaultColWidth="8.88671875" defaultRowHeight="13.8" outlineLevelRow="1" outlineLevelCol="1" x14ac:dyDescent="0.3"/>
  <cols>
    <col min="1" max="1" width="8.88671875" style="3"/>
    <col min="2" max="2" width="34.44140625" style="3" customWidth="1"/>
    <col min="3" max="3" width="34" style="3" bestFit="1" customWidth="1"/>
    <col min="4" max="4" width="13.44140625" style="3" customWidth="1"/>
    <col min="5" max="16" width="11.6640625" style="3" customWidth="1" outlineLevel="1"/>
    <col min="17" max="17" width="18.6640625" style="3" customWidth="1"/>
    <col min="18" max="18" width="57.109375" style="3" customWidth="1"/>
    <col min="19" max="16384" width="8.88671875" style="3"/>
  </cols>
  <sheetData>
    <row r="2" spans="2:18" x14ac:dyDescent="0.3">
      <c r="B2" s="37" t="s">
        <v>258</v>
      </c>
    </row>
    <row r="3" spans="2:18" x14ac:dyDescent="0.3">
      <c r="B3" s="38">
        <f>'Rent Schedule'!$E$21</f>
        <v>0</v>
      </c>
    </row>
    <row r="4" spans="2:18" x14ac:dyDescent="0.3">
      <c r="B4" s="120"/>
    </row>
    <row r="5" spans="2:18" ht="14.4" thickBot="1" x14ac:dyDescent="0.35">
      <c r="B5" s="39" t="s">
        <v>296</v>
      </c>
      <c r="C5" s="39" t="s">
        <v>2</v>
      </c>
      <c r="D5" s="39" t="s">
        <v>463</v>
      </c>
      <c r="E5" s="495">
        <f>+'Absorption Schedule'!I25</f>
        <v>46204</v>
      </c>
      <c r="F5" s="495">
        <f>EOMONTH(E5,1)</f>
        <v>46265</v>
      </c>
      <c r="G5" s="495">
        <f t="shared" ref="G5:P5" si="0">EOMONTH(F5,1)</f>
        <v>46295</v>
      </c>
      <c r="H5" s="495">
        <f t="shared" si="0"/>
        <v>46326</v>
      </c>
      <c r="I5" s="495">
        <f t="shared" si="0"/>
        <v>46356</v>
      </c>
      <c r="J5" s="495">
        <f t="shared" si="0"/>
        <v>46387</v>
      </c>
      <c r="K5" s="495">
        <f t="shared" si="0"/>
        <v>46418</v>
      </c>
      <c r="L5" s="495">
        <f t="shared" si="0"/>
        <v>46446</v>
      </c>
      <c r="M5" s="495">
        <f t="shared" si="0"/>
        <v>46477</v>
      </c>
      <c r="N5" s="495">
        <f t="shared" si="0"/>
        <v>46507</v>
      </c>
      <c r="O5" s="495">
        <f t="shared" si="0"/>
        <v>46538</v>
      </c>
      <c r="P5" s="495">
        <f t="shared" si="0"/>
        <v>46568</v>
      </c>
      <c r="Q5" s="39" t="s">
        <v>18</v>
      </c>
      <c r="R5" s="40" t="s">
        <v>255</v>
      </c>
    </row>
    <row r="6" spans="2:18" ht="14.4" thickBot="1" x14ac:dyDescent="0.35">
      <c r="B6" s="41"/>
      <c r="C6" s="41" t="s">
        <v>428</v>
      </c>
      <c r="D6" s="485"/>
      <c r="E6" s="6"/>
      <c r="F6" s="6"/>
      <c r="G6" s="6"/>
      <c r="H6" s="6"/>
      <c r="I6" s="6"/>
      <c r="J6" s="6"/>
      <c r="K6" s="6"/>
      <c r="L6" s="6"/>
      <c r="M6" s="6"/>
      <c r="N6" s="6"/>
      <c r="O6" s="6"/>
      <c r="P6" s="6"/>
      <c r="Q6" s="43">
        <f t="shared" ref="Q6:Q51" si="1">SUM(E6:P6)</f>
        <v>0</v>
      </c>
      <c r="R6" s="25"/>
    </row>
    <row r="7" spans="2:18" ht="14.4" thickBot="1" x14ac:dyDescent="0.35">
      <c r="B7" s="41"/>
      <c r="C7" s="41" t="s">
        <v>367</v>
      </c>
      <c r="D7" s="485"/>
      <c r="E7" s="6"/>
      <c r="F7" s="6"/>
      <c r="G7" s="6"/>
      <c r="H7" s="6"/>
      <c r="I7" s="6"/>
      <c r="J7" s="6"/>
      <c r="K7" s="6"/>
      <c r="L7" s="6"/>
      <c r="M7" s="6"/>
      <c r="N7" s="6"/>
      <c r="O7" s="6"/>
      <c r="P7" s="6"/>
      <c r="Q7" s="43">
        <f t="shared" si="1"/>
        <v>0</v>
      </c>
      <c r="R7" s="25"/>
    </row>
    <row r="8" spans="2:18" ht="14.4" thickBot="1" x14ac:dyDescent="0.35">
      <c r="B8" s="41"/>
      <c r="C8" s="41" t="s">
        <v>368</v>
      </c>
      <c r="D8" s="485"/>
      <c r="E8" s="6"/>
      <c r="F8" s="6"/>
      <c r="G8" s="6"/>
      <c r="H8" s="6"/>
      <c r="I8" s="6"/>
      <c r="J8" s="6"/>
      <c r="K8" s="6"/>
      <c r="L8" s="6"/>
      <c r="M8" s="6"/>
      <c r="N8" s="6"/>
      <c r="O8" s="6"/>
      <c r="P8" s="6"/>
      <c r="Q8" s="43">
        <f t="shared" si="1"/>
        <v>0</v>
      </c>
      <c r="R8" s="25"/>
    </row>
    <row r="9" spans="2:18" ht="14.4" thickBot="1" x14ac:dyDescent="0.35">
      <c r="B9" s="41"/>
      <c r="C9" s="41" t="s">
        <v>369</v>
      </c>
      <c r="D9" s="485"/>
      <c r="E9" s="6"/>
      <c r="F9" s="6"/>
      <c r="G9" s="6"/>
      <c r="H9" s="6"/>
      <c r="I9" s="6"/>
      <c r="J9" s="6"/>
      <c r="K9" s="6"/>
      <c r="L9" s="6"/>
      <c r="M9" s="6"/>
      <c r="N9" s="6"/>
      <c r="O9" s="6"/>
      <c r="P9" s="6"/>
      <c r="Q9" s="43">
        <f t="shared" si="1"/>
        <v>0</v>
      </c>
      <c r="R9" s="25"/>
    </row>
    <row r="10" spans="2:18" ht="14.4" thickBot="1" x14ac:dyDescent="0.35">
      <c r="B10" s="41"/>
      <c r="C10" s="41" t="s">
        <v>370</v>
      </c>
      <c r="D10" s="485"/>
      <c r="E10" s="6"/>
      <c r="F10" s="6"/>
      <c r="G10" s="6"/>
      <c r="H10" s="6"/>
      <c r="I10" s="6"/>
      <c r="J10" s="6"/>
      <c r="K10" s="6"/>
      <c r="L10" s="6"/>
      <c r="M10" s="6"/>
      <c r="N10" s="6"/>
      <c r="O10" s="6"/>
      <c r="P10" s="6"/>
      <c r="Q10" s="43">
        <f t="shared" si="1"/>
        <v>0</v>
      </c>
      <c r="R10" s="25"/>
    </row>
    <row r="11" spans="2:18" ht="14.4" thickBot="1" x14ac:dyDescent="0.35">
      <c r="B11" s="41"/>
      <c r="C11" s="41" t="s">
        <v>371</v>
      </c>
      <c r="D11" s="485"/>
      <c r="E11" s="6"/>
      <c r="F11" s="6"/>
      <c r="G11" s="6"/>
      <c r="H11" s="6"/>
      <c r="I11" s="6"/>
      <c r="J11" s="6"/>
      <c r="K11" s="6"/>
      <c r="L11" s="6"/>
      <c r="M11" s="6"/>
      <c r="N11" s="6"/>
      <c r="O11" s="6"/>
      <c r="P11" s="6"/>
      <c r="Q11" s="43">
        <f t="shared" si="1"/>
        <v>0</v>
      </c>
      <c r="R11" s="25"/>
    </row>
    <row r="12" spans="2:18" ht="14.4" thickBot="1" x14ac:dyDescent="0.35">
      <c r="B12" s="41"/>
      <c r="C12" s="41" t="s">
        <v>372</v>
      </c>
      <c r="D12" s="485"/>
      <c r="E12" s="6"/>
      <c r="F12" s="6"/>
      <c r="G12" s="6"/>
      <c r="H12" s="6"/>
      <c r="I12" s="6"/>
      <c r="J12" s="6"/>
      <c r="K12" s="6"/>
      <c r="L12" s="6"/>
      <c r="M12" s="6"/>
      <c r="N12" s="6"/>
      <c r="O12" s="6"/>
      <c r="P12" s="6"/>
      <c r="Q12" s="43">
        <f t="shared" si="1"/>
        <v>0</v>
      </c>
      <c r="R12" s="25"/>
    </row>
    <row r="13" spans="2:18" ht="14.4" thickBot="1" x14ac:dyDescent="0.35">
      <c r="B13" s="41"/>
      <c r="C13" s="41" t="s">
        <v>246</v>
      </c>
      <c r="D13" s="485"/>
      <c r="E13" s="6"/>
      <c r="F13" s="6"/>
      <c r="G13" s="6"/>
      <c r="H13" s="6"/>
      <c r="I13" s="6"/>
      <c r="J13" s="6"/>
      <c r="K13" s="6"/>
      <c r="L13" s="6"/>
      <c r="M13" s="6"/>
      <c r="N13" s="6"/>
      <c r="O13" s="6"/>
      <c r="P13" s="6"/>
      <c r="Q13" s="43">
        <f t="shared" si="1"/>
        <v>0</v>
      </c>
      <c r="R13" s="25"/>
    </row>
    <row r="14" spans="2:18" ht="14.4" thickBot="1" x14ac:dyDescent="0.35">
      <c r="B14" s="41"/>
      <c r="C14" s="41" t="s">
        <v>239</v>
      </c>
      <c r="D14" s="485"/>
      <c r="E14" s="6"/>
      <c r="F14" s="46"/>
      <c r="G14" s="46"/>
      <c r="H14" s="46"/>
      <c r="I14" s="46"/>
      <c r="J14" s="46"/>
      <c r="K14" s="46"/>
      <c r="L14" s="46"/>
      <c r="M14" s="46"/>
      <c r="N14" s="46"/>
      <c r="O14" s="46"/>
      <c r="P14" s="46"/>
      <c r="Q14" s="43">
        <f t="shared" si="1"/>
        <v>0</v>
      </c>
      <c r="R14" s="25"/>
    </row>
    <row r="15" spans="2:18" ht="14.4" thickBot="1" x14ac:dyDescent="0.35">
      <c r="B15" s="41"/>
      <c r="C15" s="41" t="s">
        <v>373</v>
      </c>
      <c r="D15" s="485"/>
      <c r="E15" s="6"/>
      <c r="F15" s="6"/>
      <c r="G15" s="6"/>
      <c r="H15" s="6"/>
      <c r="I15" s="6"/>
      <c r="J15" s="6"/>
      <c r="K15" s="6"/>
      <c r="L15" s="6"/>
      <c r="M15" s="6"/>
      <c r="N15" s="6"/>
      <c r="O15" s="6"/>
      <c r="P15" s="6"/>
      <c r="Q15" s="43">
        <f t="shared" si="1"/>
        <v>0</v>
      </c>
      <c r="R15" s="25"/>
    </row>
    <row r="16" spans="2:18" ht="14.4" thickBot="1" x14ac:dyDescent="0.35">
      <c r="B16" s="41"/>
      <c r="C16" s="41" t="s">
        <v>374</v>
      </c>
      <c r="D16" s="485"/>
      <c r="E16" s="6"/>
      <c r="F16" s="6"/>
      <c r="G16" s="6"/>
      <c r="H16" s="6"/>
      <c r="I16" s="6"/>
      <c r="J16" s="6"/>
      <c r="K16" s="6"/>
      <c r="L16" s="6"/>
      <c r="M16" s="6"/>
      <c r="N16" s="6"/>
      <c r="O16" s="6"/>
      <c r="P16" s="6"/>
      <c r="Q16" s="43">
        <f t="shared" si="1"/>
        <v>0</v>
      </c>
      <c r="R16" s="25"/>
    </row>
    <row r="17" spans="2:18" ht="14.4" thickBot="1" x14ac:dyDescent="0.35">
      <c r="B17" s="41"/>
      <c r="C17" s="41" t="s">
        <v>375</v>
      </c>
      <c r="D17" s="485"/>
      <c r="E17" s="6"/>
      <c r="F17" s="6"/>
      <c r="G17" s="6"/>
      <c r="H17" s="6"/>
      <c r="I17" s="6"/>
      <c r="J17" s="6"/>
      <c r="K17" s="6"/>
      <c r="L17" s="6"/>
      <c r="M17" s="6"/>
      <c r="N17" s="6"/>
      <c r="O17" s="6"/>
      <c r="P17" s="6"/>
      <c r="Q17" s="43">
        <f t="shared" si="1"/>
        <v>0</v>
      </c>
      <c r="R17" s="25"/>
    </row>
    <row r="18" spans="2:18" ht="14.4" thickBot="1" x14ac:dyDescent="0.35">
      <c r="B18" s="41"/>
      <c r="C18" s="41" t="s">
        <v>376</v>
      </c>
      <c r="D18" s="485"/>
      <c r="E18" s="6"/>
      <c r="F18" s="6"/>
      <c r="G18" s="6"/>
      <c r="H18" s="6"/>
      <c r="I18" s="6"/>
      <c r="J18" s="6"/>
      <c r="K18" s="6"/>
      <c r="L18" s="6"/>
      <c r="M18" s="6"/>
      <c r="N18" s="6"/>
      <c r="O18" s="6"/>
      <c r="P18" s="6"/>
      <c r="Q18" s="43">
        <f t="shared" si="1"/>
        <v>0</v>
      </c>
      <c r="R18" s="25"/>
    </row>
    <row r="19" spans="2:18" ht="14.4" thickBot="1" x14ac:dyDescent="0.35">
      <c r="B19" s="41"/>
      <c r="C19" s="41" t="s">
        <v>377</v>
      </c>
      <c r="D19" s="485"/>
      <c r="E19" s="6"/>
      <c r="F19" s="6"/>
      <c r="G19" s="6"/>
      <c r="H19" s="6"/>
      <c r="I19" s="6"/>
      <c r="J19" s="6"/>
      <c r="K19" s="6"/>
      <c r="L19" s="6"/>
      <c r="M19" s="6"/>
      <c r="N19" s="6"/>
      <c r="O19" s="6"/>
      <c r="P19" s="6"/>
      <c r="Q19" s="43">
        <f t="shared" si="1"/>
        <v>0</v>
      </c>
      <c r="R19" s="25"/>
    </row>
    <row r="20" spans="2:18" ht="14.4" thickBot="1" x14ac:dyDescent="0.35">
      <c r="B20" s="41"/>
      <c r="C20" s="41" t="s">
        <v>378</v>
      </c>
      <c r="D20" s="485"/>
      <c r="E20" s="6"/>
      <c r="F20" s="6"/>
      <c r="G20" s="6"/>
      <c r="H20" s="6"/>
      <c r="I20" s="6"/>
      <c r="J20" s="6"/>
      <c r="K20" s="6"/>
      <c r="L20" s="6"/>
      <c r="M20" s="6"/>
      <c r="N20" s="6"/>
      <c r="O20" s="6"/>
      <c r="P20" s="6"/>
      <c r="Q20" s="43">
        <f t="shared" si="1"/>
        <v>0</v>
      </c>
      <c r="R20" s="25"/>
    </row>
    <row r="21" spans="2:18" ht="14.4" thickBot="1" x14ac:dyDescent="0.35">
      <c r="B21" s="41"/>
      <c r="C21" s="41" t="s">
        <v>379</v>
      </c>
      <c r="D21" s="485"/>
      <c r="E21" s="6"/>
      <c r="F21" s="6"/>
      <c r="G21" s="6"/>
      <c r="H21" s="6"/>
      <c r="I21" s="6"/>
      <c r="J21" s="6"/>
      <c r="K21" s="6"/>
      <c r="L21" s="6"/>
      <c r="M21" s="6"/>
      <c r="N21" s="6"/>
      <c r="O21" s="6"/>
      <c r="P21" s="6"/>
      <c r="Q21" s="43">
        <f t="shared" si="1"/>
        <v>0</v>
      </c>
      <c r="R21" s="25"/>
    </row>
    <row r="22" spans="2:18" ht="14.4" thickBot="1" x14ac:dyDescent="0.35">
      <c r="B22" s="41"/>
      <c r="C22" s="41" t="s">
        <v>380</v>
      </c>
      <c r="D22" s="485"/>
      <c r="E22" s="6"/>
      <c r="F22" s="6"/>
      <c r="G22" s="6"/>
      <c r="H22" s="6"/>
      <c r="I22" s="6"/>
      <c r="J22" s="6"/>
      <c r="K22" s="6"/>
      <c r="L22" s="6"/>
      <c r="M22" s="6"/>
      <c r="N22" s="6"/>
      <c r="O22" s="6"/>
      <c r="P22" s="6"/>
      <c r="Q22" s="43">
        <f t="shared" si="1"/>
        <v>0</v>
      </c>
      <c r="R22" s="25"/>
    </row>
    <row r="23" spans="2:18" ht="14.4" thickBot="1" x14ac:dyDescent="0.35">
      <c r="B23" s="41"/>
      <c r="C23" s="41" t="s">
        <v>381</v>
      </c>
      <c r="D23" s="485"/>
      <c r="E23" s="6"/>
      <c r="F23" s="6"/>
      <c r="G23" s="6"/>
      <c r="H23" s="6"/>
      <c r="I23" s="6"/>
      <c r="J23" s="6"/>
      <c r="K23" s="6"/>
      <c r="L23" s="6"/>
      <c r="M23" s="6"/>
      <c r="N23" s="6"/>
      <c r="O23" s="6"/>
      <c r="P23" s="6"/>
      <c r="Q23" s="43">
        <f t="shared" si="1"/>
        <v>0</v>
      </c>
      <c r="R23" s="25"/>
    </row>
    <row r="24" spans="2:18" ht="14.4" thickBot="1" x14ac:dyDescent="0.35">
      <c r="B24" s="41"/>
      <c r="C24" s="41" t="s">
        <v>382</v>
      </c>
      <c r="D24" s="485"/>
      <c r="E24" s="6"/>
      <c r="F24" s="6"/>
      <c r="G24" s="6"/>
      <c r="H24" s="6"/>
      <c r="I24" s="6"/>
      <c r="J24" s="6"/>
      <c r="K24" s="6"/>
      <c r="L24" s="6"/>
      <c r="M24" s="6"/>
      <c r="N24" s="6"/>
      <c r="O24" s="6"/>
      <c r="P24" s="6"/>
      <c r="Q24" s="43">
        <f t="shared" si="1"/>
        <v>0</v>
      </c>
      <c r="R24" s="25"/>
    </row>
    <row r="25" spans="2:18" ht="14.4" thickBot="1" x14ac:dyDescent="0.35">
      <c r="B25" s="41"/>
      <c r="C25" s="41" t="s">
        <v>383</v>
      </c>
      <c r="D25" s="485"/>
      <c r="E25" s="6"/>
      <c r="F25" s="6"/>
      <c r="G25" s="6"/>
      <c r="H25" s="6"/>
      <c r="I25" s="6"/>
      <c r="J25" s="6"/>
      <c r="K25" s="6"/>
      <c r="L25" s="6"/>
      <c r="M25" s="6"/>
      <c r="N25" s="6"/>
      <c r="O25" s="6"/>
      <c r="P25" s="6"/>
      <c r="Q25" s="43">
        <f t="shared" si="1"/>
        <v>0</v>
      </c>
      <c r="R25" s="25"/>
    </row>
    <row r="26" spans="2:18" ht="14.4" thickBot="1" x14ac:dyDescent="0.35">
      <c r="B26" s="41"/>
      <c r="C26" s="41" t="s">
        <v>384</v>
      </c>
      <c r="D26" s="485"/>
      <c r="E26" s="6"/>
      <c r="F26" s="6"/>
      <c r="G26" s="6"/>
      <c r="H26" s="6"/>
      <c r="I26" s="6"/>
      <c r="J26" s="6"/>
      <c r="K26" s="6"/>
      <c r="L26" s="6"/>
      <c r="M26" s="6"/>
      <c r="N26" s="6"/>
      <c r="O26" s="6"/>
      <c r="P26" s="6"/>
      <c r="Q26" s="43">
        <f t="shared" si="1"/>
        <v>0</v>
      </c>
      <c r="R26" s="25"/>
    </row>
    <row r="27" spans="2:18" ht="14.4" thickBot="1" x14ac:dyDescent="0.35">
      <c r="B27" s="41"/>
      <c r="C27" s="41" t="s">
        <v>385</v>
      </c>
      <c r="D27" s="485"/>
      <c r="E27" s="6"/>
      <c r="F27" s="6"/>
      <c r="G27" s="6"/>
      <c r="H27" s="6"/>
      <c r="I27" s="6"/>
      <c r="J27" s="6"/>
      <c r="K27" s="6"/>
      <c r="L27" s="6"/>
      <c r="M27" s="6"/>
      <c r="N27" s="6"/>
      <c r="O27" s="6"/>
      <c r="P27" s="6"/>
      <c r="Q27" s="43">
        <f t="shared" si="1"/>
        <v>0</v>
      </c>
      <c r="R27" s="25"/>
    </row>
    <row r="28" spans="2:18" ht="14.4" thickBot="1" x14ac:dyDescent="0.35">
      <c r="B28" s="41"/>
      <c r="C28" s="41" t="s">
        <v>386</v>
      </c>
      <c r="D28" s="485"/>
      <c r="E28" s="6"/>
      <c r="F28" s="46"/>
      <c r="G28" s="46"/>
      <c r="H28" s="46"/>
      <c r="I28" s="46"/>
      <c r="J28" s="46"/>
      <c r="K28" s="46"/>
      <c r="L28" s="46"/>
      <c r="M28" s="46"/>
      <c r="N28" s="46"/>
      <c r="O28" s="46"/>
      <c r="P28" s="46"/>
      <c r="Q28" s="43">
        <f t="shared" si="1"/>
        <v>0</v>
      </c>
      <c r="R28" s="25"/>
    </row>
    <row r="29" spans="2:18" ht="14.4" thickBot="1" x14ac:dyDescent="0.35">
      <c r="B29" s="41"/>
      <c r="C29" s="41" t="s">
        <v>387</v>
      </c>
      <c r="D29" s="485"/>
      <c r="E29" s="6"/>
      <c r="F29" s="6"/>
      <c r="G29" s="6"/>
      <c r="H29" s="6"/>
      <c r="I29" s="6"/>
      <c r="J29" s="6"/>
      <c r="K29" s="6"/>
      <c r="L29" s="6"/>
      <c r="M29" s="6"/>
      <c r="N29" s="6"/>
      <c r="O29" s="6"/>
      <c r="P29" s="6"/>
      <c r="Q29" s="43">
        <f t="shared" si="1"/>
        <v>0</v>
      </c>
      <c r="R29" s="25"/>
    </row>
    <row r="30" spans="2:18" ht="14.4" thickBot="1" x14ac:dyDescent="0.35">
      <c r="B30" s="41"/>
      <c r="C30" s="41" t="s">
        <v>388</v>
      </c>
      <c r="D30" s="485"/>
      <c r="E30" s="6"/>
      <c r="F30" s="6"/>
      <c r="G30" s="6"/>
      <c r="H30" s="6"/>
      <c r="I30" s="6"/>
      <c r="J30" s="6"/>
      <c r="K30" s="6"/>
      <c r="L30" s="6"/>
      <c r="M30" s="6"/>
      <c r="N30" s="6"/>
      <c r="O30" s="6"/>
      <c r="P30" s="6"/>
      <c r="Q30" s="43">
        <f t="shared" si="1"/>
        <v>0</v>
      </c>
      <c r="R30" s="25"/>
    </row>
    <row r="31" spans="2:18" ht="14.4" thickBot="1" x14ac:dyDescent="0.35">
      <c r="B31" s="41"/>
      <c r="C31" s="41" t="s">
        <v>389</v>
      </c>
      <c r="D31" s="485"/>
      <c r="E31" s="6"/>
      <c r="F31" s="6"/>
      <c r="G31" s="6"/>
      <c r="H31" s="6"/>
      <c r="I31" s="6"/>
      <c r="J31" s="6"/>
      <c r="K31" s="6"/>
      <c r="L31" s="6"/>
      <c r="M31" s="6"/>
      <c r="N31" s="6"/>
      <c r="O31" s="6"/>
      <c r="P31" s="6"/>
      <c r="Q31" s="43">
        <f t="shared" si="1"/>
        <v>0</v>
      </c>
      <c r="R31" s="25"/>
    </row>
    <row r="32" spans="2:18" ht="14.4" thickBot="1" x14ac:dyDescent="0.35">
      <c r="B32" s="41"/>
      <c r="C32" s="41" t="s">
        <v>241</v>
      </c>
      <c r="D32" s="485"/>
      <c r="E32" s="6"/>
      <c r="F32" s="6"/>
      <c r="G32" s="6"/>
      <c r="H32" s="6"/>
      <c r="I32" s="6"/>
      <c r="J32" s="6"/>
      <c r="K32" s="6"/>
      <c r="L32" s="6"/>
      <c r="M32" s="6"/>
      <c r="N32" s="6"/>
      <c r="O32" s="6"/>
      <c r="P32" s="6"/>
      <c r="Q32" s="43">
        <f t="shared" si="1"/>
        <v>0</v>
      </c>
      <c r="R32" s="25"/>
    </row>
    <row r="33" spans="2:18" ht="14.4" thickBot="1" x14ac:dyDescent="0.35">
      <c r="B33" s="41"/>
      <c r="C33" s="41" t="s">
        <v>390</v>
      </c>
      <c r="D33" s="485"/>
      <c r="E33" s="6"/>
      <c r="F33" s="6"/>
      <c r="G33" s="6"/>
      <c r="H33" s="6"/>
      <c r="I33" s="6"/>
      <c r="J33" s="6"/>
      <c r="K33" s="6"/>
      <c r="L33" s="6"/>
      <c r="M33" s="6"/>
      <c r="N33" s="6"/>
      <c r="O33" s="6"/>
      <c r="P33" s="6"/>
      <c r="Q33" s="43">
        <f t="shared" si="1"/>
        <v>0</v>
      </c>
      <c r="R33" s="25"/>
    </row>
    <row r="34" spans="2:18" ht="14.4" thickBot="1" x14ac:dyDescent="0.35">
      <c r="B34" s="41"/>
      <c r="C34" s="41"/>
      <c r="D34" s="485"/>
      <c r="E34" s="6"/>
      <c r="F34" s="6"/>
      <c r="G34" s="6"/>
      <c r="H34" s="6"/>
      <c r="I34" s="6"/>
      <c r="J34" s="6"/>
      <c r="K34" s="6"/>
      <c r="L34" s="6"/>
      <c r="M34" s="6"/>
      <c r="N34" s="6"/>
      <c r="O34" s="6"/>
      <c r="P34" s="6"/>
      <c r="Q34" s="43">
        <f t="shared" si="1"/>
        <v>0</v>
      </c>
      <c r="R34" s="25"/>
    </row>
    <row r="35" spans="2:18" ht="14.4" thickBot="1" x14ac:dyDescent="0.35">
      <c r="B35" s="41"/>
      <c r="C35" s="41"/>
      <c r="D35" s="485"/>
      <c r="E35" s="6"/>
      <c r="F35" s="6"/>
      <c r="G35" s="6"/>
      <c r="H35" s="6"/>
      <c r="I35" s="6"/>
      <c r="J35" s="6"/>
      <c r="K35" s="6"/>
      <c r="L35" s="6"/>
      <c r="M35" s="6"/>
      <c r="N35" s="6"/>
      <c r="O35" s="6"/>
      <c r="P35" s="6"/>
      <c r="Q35" s="43">
        <f t="shared" si="1"/>
        <v>0</v>
      </c>
      <c r="R35" s="25"/>
    </row>
    <row r="36" spans="2:18" ht="14.4" thickBot="1" x14ac:dyDescent="0.35">
      <c r="B36" s="41"/>
      <c r="C36" s="41"/>
      <c r="D36" s="485"/>
      <c r="E36" s="6"/>
      <c r="F36" s="6"/>
      <c r="G36" s="6"/>
      <c r="H36" s="6"/>
      <c r="I36" s="6"/>
      <c r="J36" s="6"/>
      <c r="K36" s="6"/>
      <c r="L36" s="6"/>
      <c r="M36" s="6"/>
      <c r="N36" s="6"/>
      <c r="O36" s="6"/>
      <c r="P36" s="6"/>
      <c r="Q36" s="43">
        <f t="shared" si="1"/>
        <v>0</v>
      </c>
      <c r="R36" s="25"/>
    </row>
    <row r="37" spans="2:18" ht="14.4" thickBot="1" x14ac:dyDescent="0.35">
      <c r="B37" s="41"/>
      <c r="C37" s="41"/>
      <c r="D37" s="485"/>
      <c r="E37" s="6"/>
      <c r="F37" s="6"/>
      <c r="G37" s="6"/>
      <c r="H37" s="6"/>
      <c r="I37" s="6"/>
      <c r="J37" s="6"/>
      <c r="K37" s="6"/>
      <c r="L37" s="6"/>
      <c r="M37" s="6"/>
      <c r="N37" s="6"/>
      <c r="O37" s="6"/>
      <c r="P37" s="6"/>
      <c r="Q37" s="43">
        <f t="shared" si="1"/>
        <v>0</v>
      </c>
      <c r="R37" s="25"/>
    </row>
    <row r="38" spans="2:18" ht="14.4" thickBot="1" x14ac:dyDescent="0.35">
      <c r="B38" s="41"/>
      <c r="C38" s="41"/>
      <c r="D38" s="485"/>
      <c r="E38" s="6"/>
      <c r="F38" s="6"/>
      <c r="G38" s="6"/>
      <c r="H38" s="6"/>
      <c r="I38" s="6"/>
      <c r="J38" s="6"/>
      <c r="K38" s="6"/>
      <c r="L38" s="6"/>
      <c r="M38" s="6"/>
      <c r="N38" s="6"/>
      <c r="O38" s="6"/>
      <c r="P38" s="6"/>
      <c r="Q38" s="43">
        <f t="shared" si="1"/>
        <v>0</v>
      </c>
      <c r="R38" s="25"/>
    </row>
    <row r="39" spans="2:18" ht="14.4" thickBot="1" x14ac:dyDescent="0.35">
      <c r="B39" s="41"/>
      <c r="C39" s="41"/>
      <c r="D39" s="485"/>
      <c r="E39" s="6"/>
      <c r="F39" s="6"/>
      <c r="G39" s="6"/>
      <c r="H39" s="6"/>
      <c r="I39" s="6"/>
      <c r="J39" s="6"/>
      <c r="K39" s="6"/>
      <c r="L39" s="6"/>
      <c r="M39" s="6"/>
      <c r="N39" s="6"/>
      <c r="O39" s="6"/>
      <c r="P39" s="6"/>
      <c r="Q39" s="43">
        <f t="shared" si="1"/>
        <v>0</v>
      </c>
      <c r="R39" s="25"/>
    </row>
    <row r="40" spans="2:18" ht="14.4" thickBot="1" x14ac:dyDescent="0.35">
      <c r="B40" s="41"/>
      <c r="C40" s="41"/>
      <c r="D40" s="485"/>
      <c r="E40" s="6"/>
      <c r="F40" s="6"/>
      <c r="G40" s="6"/>
      <c r="H40" s="6"/>
      <c r="I40" s="6"/>
      <c r="J40" s="6"/>
      <c r="K40" s="6"/>
      <c r="L40" s="6"/>
      <c r="M40" s="6"/>
      <c r="N40" s="6"/>
      <c r="O40" s="6"/>
      <c r="P40" s="6"/>
      <c r="Q40" s="43">
        <f t="shared" si="1"/>
        <v>0</v>
      </c>
      <c r="R40" s="25"/>
    </row>
    <row r="41" spans="2:18" ht="14.4" thickBot="1" x14ac:dyDescent="0.35">
      <c r="B41" s="41"/>
      <c r="C41" s="41"/>
      <c r="D41" s="485"/>
      <c r="E41" s="6"/>
      <c r="F41" s="6"/>
      <c r="G41" s="6"/>
      <c r="H41" s="6"/>
      <c r="I41" s="6"/>
      <c r="J41" s="6"/>
      <c r="K41" s="6"/>
      <c r="L41" s="6"/>
      <c r="M41" s="6"/>
      <c r="N41" s="6"/>
      <c r="O41" s="6"/>
      <c r="P41" s="6"/>
      <c r="Q41" s="43">
        <f t="shared" si="1"/>
        <v>0</v>
      </c>
      <c r="R41" s="25"/>
    </row>
    <row r="42" spans="2:18" ht="14.4" thickBot="1" x14ac:dyDescent="0.35">
      <c r="B42" s="41"/>
      <c r="C42" s="44"/>
      <c r="D42" s="485"/>
      <c r="E42" s="6"/>
      <c r="F42" s="46"/>
      <c r="G42" s="46"/>
      <c r="H42" s="46"/>
      <c r="I42" s="46"/>
      <c r="J42" s="46"/>
      <c r="K42" s="46"/>
      <c r="L42" s="46"/>
      <c r="M42" s="46"/>
      <c r="N42" s="46"/>
      <c r="O42" s="46"/>
      <c r="P42" s="47"/>
      <c r="Q42" s="43">
        <f t="shared" si="1"/>
        <v>0</v>
      </c>
      <c r="R42" s="25"/>
    </row>
    <row r="43" spans="2:18" ht="14.4" thickBot="1" x14ac:dyDescent="0.35">
      <c r="B43" s="41"/>
      <c r="C43" s="44"/>
      <c r="D43" s="485"/>
      <c r="E43" s="6"/>
      <c r="F43" s="46"/>
      <c r="G43" s="46"/>
      <c r="H43" s="46"/>
      <c r="I43" s="46"/>
      <c r="J43" s="46"/>
      <c r="K43" s="46"/>
      <c r="L43" s="46"/>
      <c r="M43" s="46"/>
      <c r="N43" s="46"/>
      <c r="O43" s="46"/>
      <c r="P43" s="47"/>
      <c r="Q43" s="43">
        <f t="shared" si="1"/>
        <v>0</v>
      </c>
      <c r="R43" s="25"/>
    </row>
    <row r="44" spans="2:18" ht="14.4" thickBot="1" x14ac:dyDescent="0.35">
      <c r="B44" s="41"/>
      <c r="C44" s="44"/>
      <c r="D44" s="485"/>
      <c r="E44" s="6"/>
      <c r="F44" s="46"/>
      <c r="G44" s="46"/>
      <c r="H44" s="46"/>
      <c r="I44" s="46"/>
      <c r="J44" s="46"/>
      <c r="K44" s="46"/>
      <c r="L44" s="46"/>
      <c r="M44" s="46"/>
      <c r="N44" s="46"/>
      <c r="O44" s="46"/>
      <c r="P44" s="47"/>
      <c r="Q44" s="43">
        <f t="shared" si="1"/>
        <v>0</v>
      </c>
      <c r="R44" s="25"/>
    </row>
    <row r="45" spans="2:18" ht="14.4" thickBot="1" x14ac:dyDescent="0.35">
      <c r="B45" s="41"/>
      <c r="C45" s="44"/>
      <c r="D45" s="485"/>
      <c r="E45" s="6"/>
      <c r="F45" s="46"/>
      <c r="G45" s="46"/>
      <c r="H45" s="46"/>
      <c r="I45" s="46"/>
      <c r="J45" s="46"/>
      <c r="K45" s="46"/>
      <c r="L45" s="46"/>
      <c r="M45" s="46"/>
      <c r="N45" s="46"/>
      <c r="O45" s="46"/>
      <c r="P45" s="47"/>
      <c r="Q45" s="43">
        <f t="shared" si="1"/>
        <v>0</v>
      </c>
      <c r="R45" s="25"/>
    </row>
    <row r="46" spans="2:18" ht="14.4" thickBot="1" x14ac:dyDescent="0.35">
      <c r="B46" s="41"/>
      <c r="C46" s="44"/>
      <c r="D46" s="485"/>
      <c r="E46" s="6"/>
      <c r="F46" s="46"/>
      <c r="G46" s="46"/>
      <c r="H46" s="46"/>
      <c r="I46" s="46"/>
      <c r="J46" s="46"/>
      <c r="K46" s="46"/>
      <c r="L46" s="46"/>
      <c r="M46" s="46"/>
      <c r="N46" s="46"/>
      <c r="O46" s="46"/>
      <c r="P46" s="47"/>
      <c r="Q46" s="43">
        <f t="shared" si="1"/>
        <v>0</v>
      </c>
      <c r="R46" s="25"/>
    </row>
    <row r="47" spans="2:18" ht="14.4" thickBot="1" x14ac:dyDescent="0.35">
      <c r="B47" s="41"/>
      <c r="C47" s="44"/>
      <c r="D47" s="485"/>
      <c r="E47" s="6"/>
      <c r="F47" s="46"/>
      <c r="G47" s="46"/>
      <c r="H47" s="46"/>
      <c r="I47" s="46"/>
      <c r="J47" s="46"/>
      <c r="K47" s="46"/>
      <c r="L47" s="46"/>
      <c r="M47" s="46"/>
      <c r="N47" s="46"/>
      <c r="O47" s="46"/>
      <c r="P47" s="47"/>
      <c r="Q47" s="43">
        <f t="shared" si="1"/>
        <v>0</v>
      </c>
      <c r="R47" s="25"/>
    </row>
    <row r="48" spans="2:18" ht="14.4" thickBot="1" x14ac:dyDescent="0.35">
      <c r="B48" s="41"/>
      <c r="C48" s="44"/>
      <c r="D48" s="485"/>
      <c r="E48" s="6"/>
      <c r="F48" s="46"/>
      <c r="G48" s="46"/>
      <c r="H48" s="46"/>
      <c r="I48" s="46"/>
      <c r="J48" s="46"/>
      <c r="K48" s="46"/>
      <c r="L48" s="46"/>
      <c r="M48" s="46"/>
      <c r="N48" s="46"/>
      <c r="O48" s="46"/>
      <c r="P48" s="47"/>
      <c r="Q48" s="43">
        <f t="shared" si="1"/>
        <v>0</v>
      </c>
      <c r="R48" s="25"/>
    </row>
    <row r="49" spans="2:18" ht="14.4" thickBot="1" x14ac:dyDescent="0.35">
      <c r="B49" s="41"/>
      <c r="C49" s="44"/>
      <c r="D49" s="485"/>
      <c r="E49" s="6"/>
      <c r="F49" s="46"/>
      <c r="G49" s="46"/>
      <c r="H49" s="46"/>
      <c r="I49" s="46"/>
      <c r="J49" s="46"/>
      <c r="K49" s="46"/>
      <c r="L49" s="46"/>
      <c r="M49" s="46"/>
      <c r="N49" s="46"/>
      <c r="O49" s="46"/>
      <c r="P49" s="47"/>
      <c r="Q49" s="43">
        <f t="shared" si="1"/>
        <v>0</v>
      </c>
      <c r="R49" s="25"/>
    </row>
    <row r="50" spans="2:18" ht="14.4" thickBot="1" x14ac:dyDescent="0.35">
      <c r="B50" s="41"/>
      <c r="C50" s="44"/>
      <c r="D50" s="485"/>
      <c r="E50" s="6"/>
      <c r="F50" s="46"/>
      <c r="G50" s="46"/>
      <c r="H50" s="46"/>
      <c r="I50" s="46"/>
      <c r="J50" s="46"/>
      <c r="K50" s="46"/>
      <c r="L50" s="46"/>
      <c r="M50" s="46"/>
      <c r="N50" s="46"/>
      <c r="O50" s="46"/>
      <c r="P50" s="47"/>
      <c r="Q50" s="43">
        <f t="shared" si="1"/>
        <v>0</v>
      </c>
      <c r="R50" s="25"/>
    </row>
    <row r="51" spans="2:18" ht="14.4" thickBot="1" x14ac:dyDescent="0.35">
      <c r="B51" s="41"/>
      <c r="C51" s="44"/>
      <c r="D51" s="485"/>
      <c r="E51" s="6"/>
      <c r="F51" s="46"/>
      <c r="G51" s="46"/>
      <c r="H51" s="46"/>
      <c r="I51" s="46"/>
      <c r="J51" s="46"/>
      <c r="K51" s="46"/>
      <c r="L51" s="46"/>
      <c r="M51" s="46"/>
      <c r="N51" s="46"/>
      <c r="O51" s="46"/>
      <c r="P51" s="47"/>
      <c r="Q51" s="43">
        <f t="shared" si="1"/>
        <v>0</v>
      </c>
      <c r="R51" s="25"/>
    </row>
    <row r="52" spans="2:18" ht="14.4" outlineLevel="1" thickBot="1" x14ac:dyDescent="0.35">
      <c r="B52" s="44"/>
      <c r="C52" s="44"/>
      <c r="D52" s="485"/>
      <c r="E52" s="46"/>
      <c r="F52" s="46"/>
      <c r="G52" s="46"/>
      <c r="H52" s="46"/>
      <c r="I52" s="46"/>
      <c r="J52" s="46"/>
      <c r="K52" s="46"/>
      <c r="L52" s="46"/>
      <c r="M52" s="46"/>
      <c r="N52" s="46"/>
      <c r="O52" s="46"/>
      <c r="P52" s="47"/>
      <c r="Q52" s="43">
        <f t="shared" ref="Q52:Q101" si="2">SUM(E52:P52)</f>
        <v>0</v>
      </c>
      <c r="R52" s="25"/>
    </row>
    <row r="53" spans="2:18" ht="14.4" outlineLevel="1" thickBot="1" x14ac:dyDescent="0.35">
      <c r="B53" s="44"/>
      <c r="C53" s="44"/>
      <c r="D53" s="485"/>
      <c r="E53" s="46"/>
      <c r="F53" s="46"/>
      <c r="G53" s="46"/>
      <c r="H53" s="46"/>
      <c r="I53" s="46"/>
      <c r="J53" s="46"/>
      <c r="K53" s="46"/>
      <c r="L53" s="46"/>
      <c r="M53" s="46"/>
      <c r="N53" s="46"/>
      <c r="O53" s="46"/>
      <c r="P53" s="47"/>
      <c r="Q53" s="43">
        <f t="shared" si="2"/>
        <v>0</v>
      </c>
      <c r="R53" s="25"/>
    </row>
    <row r="54" spans="2:18" ht="14.4" outlineLevel="1" thickBot="1" x14ac:dyDescent="0.35">
      <c r="B54" s="44"/>
      <c r="C54" s="44"/>
      <c r="D54" s="485"/>
      <c r="E54" s="46"/>
      <c r="F54" s="46"/>
      <c r="G54" s="46"/>
      <c r="H54" s="46"/>
      <c r="I54" s="46"/>
      <c r="J54" s="46"/>
      <c r="K54" s="46"/>
      <c r="L54" s="46"/>
      <c r="M54" s="46"/>
      <c r="N54" s="46"/>
      <c r="O54" s="46"/>
      <c r="P54" s="47"/>
      <c r="Q54" s="43">
        <f t="shared" si="2"/>
        <v>0</v>
      </c>
      <c r="R54" s="25"/>
    </row>
    <row r="55" spans="2:18" ht="14.4" outlineLevel="1" thickBot="1" x14ac:dyDescent="0.35">
      <c r="B55" s="44"/>
      <c r="C55" s="44"/>
      <c r="D55" s="485"/>
      <c r="E55" s="46"/>
      <c r="F55" s="46"/>
      <c r="G55" s="46"/>
      <c r="H55" s="46"/>
      <c r="I55" s="46"/>
      <c r="J55" s="46"/>
      <c r="K55" s="46"/>
      <c r="L55" s="46"/>
      <c r="M55" s="46"/>
      <c r="N55" s="46"/>
      <c r="O55" s="46"/>
      <c r="P55" s="47"/>
      <c r="Q55" s="43">
        <f t="shared" si="2"/>
        <v>0</v>
      </c>
      <c r="R55" s="25"/>
    </row>
    <row r="56" spans="2:18" ht="14.4" outlineLevel="1" thickBot="1" x14ac:dyDescent="0.35">
      <c r="B56" s="44"/>
      <c r="C56" s="44"/>
      <c r="D56" s="485"/>
      <c r="E56" s="46"/>
      <c r="F56" s="46"/>
      <c r="G56" s="46"/>
      <c r="H56" s="46"/>
      <c r="I56" s="46"/>
      <c r="J56" s="46"/>
      <c r="K56" s="46"/>
      <c r="L56" s="46"/>
      <c r="M56" s="46"/>
      <c r="N56" s="46"/>
      <c r="O56" s="46"/>
      <c r="P56" s="47"/>
      <c r="Q56" s="43">
        <f t="shared" si="2"/>
        <v>0</v>
      </c>
      <c r="R56" s="25"/>
    </row>
    <row r="57" spans="2:18" ht="14.4" outlineLevel="1" thickBot="1" x14ac:dyDescent="0.35">
      <c r="B57" s="44"/>
      <c r="C57" s="44"/>
      <c r="D57" s="485"/>
      <c r="E57" s="46"/>
      <c r="F57" s="46"/>
      <c r="G57" s="46"/>
      <c r="H57" s="46"/>
      <c r="I57" s="46"/>
      <c r="J57" s="46"/>
      <c r="K57" s="46"/>
      <c r="L57" s="46"/>
      <c r="M57" s="46"/>
      <c r="N57" s="46"/>
      <c r="O57" s="46"/>
      <c r="P57" s="47"/>
      <c r="Q57" s="43">
        <f t="shared" si="2"/>
        <v>0</v>
      </c>
      <c r="R57" s="25"/>
    </row>
    <row r="58" spans="2:18" ht="14.4" outlineLevel="1" thickBot="1" x14ac:dyDescent="0.35">
      <c r="B58" s="44"/>
      <c r="C58" s="44"/>
      <c r="D58" s="485"/>
      <c r="E58" s="46"/>
      <c r="F58" s="46"/>
      <c r="G58" s="46"/>
      <c r="H58" s="46"/>
      <c r="I58" s="46"/>
      <c r="J58" s="46"/>
      <c r="K58" s="46"/>
      <c r="L58" s="46"/>
      <c r="M58" s="46"/>
      <c r="N58" s="46"/>
      <c r="O58" s="46"/>
      <c r="P58" s="47"/>
      <c r="Q58" s="43">
        <f t="shared" si="2"/>
        <v>0</v>
      </c>
      <c r="R58" s="25"/>
    </row>
    <row r="59" spans="2:18" ht="14.4" outlineLevel="1" thickBot="1" x14ac:dyDescent="0.35">
      <c r="B59" s="44"/>
      <c r="C59" s="44"/>
      <c r="D59" s="485"/>
      <c r="E59" s="46"/>
      <c r="F59" s="46"/>
      <c r="G59" s="46"/>
      <c r="H59" s="46"/>
      <c r="I59" s="46"/>
      <c r="J59" s="46"/>
      <c r="K59" s="46"/>
      <c r="L59" s="46"/>
      <c r="M59" s="46"/>
      <c r="N59" s="46"/>
      <c r="O59" s="46"/>
      <c r="P59" s="47"/>
      <c r="Q59" s="43">
        <f t="shared" si="2"/>
        <v>0</v>
      </c>
      <c r="R59" s="25"/>
    </row>
    <row r="60" spans="2:18" ht="14.4" outlineLevel="1" thickBot="1" x14ac:dyDescent="0.35">
      <c r="B60" s="44"/>
      <c r="C60" s="44"/>
      <c r="D60" s="485"/>
      <c r="E60" s="46"/>
      <c r="F60" s="46"/>
      <c r="G60" s="46"/>
      <c r="H60" s="46"/>
      <c r="I60" s="46"/>
      <c r="J60" s="46"/>
      <c r="K60" s="46"/>
      <c r="L60" s="46"/>
      <c r="M60" s="46"/>
      <c r="N60" s="46"/>
      <c r="O60" s="46"/>
      <c r="P60" s="47"/>
      <c r="Q60" s="43">
        <f t="shared" si="2"/>
        <v>0</v>
      </c>
      <c r="R60" s="25"/>
    </row>
    <row r="61" spans="2:18" ht="14.4" outlineLevel="1" thickBot="1" x14ac:dyDescent="0.35">
      <c r="B61" s="44"/>
      <c r="C61" s="44"/>
      <c r="D61" s="485"/>
      <c r="E61" s="46"/>
      <c r="F61" s="46"/>
      <c r="G61" s="46"/>
      <c r="H61" s="46"/>
      <c r="I61" s="46"/>
      <c r="J61" s="46"/>
      <c r="K61" s="46"/>
      <c r="L61" s="46"/>
      <c r="M61" s="46"/>
      <c r="N61" s="46"/>
      <c r="O61" s="46"/>
      <c r="P61" s="47"/>
      <c r="Q61" s="43">
        <f t="shared" si="2"/>
        <v>0</v>
      </c>
      <c r="R61" s="25"/>
    </row>
    <row r="62" spans="2:18" ht="14.4" outlineLevel="1" thickBot="1" x14ac:dyDescent="0.35">
      <c r="B62" s="44"/>
      <c r="C62" s="44"/>
      <c r="D62" s="485"/>
      <c r="E62" s="46"/>
      <c r="F62" s="46"/>
      <c r="G62" s="46"/>
      <c r="H62" s="46"/>
      <c r="I62" s="46"/>
      <c r="J62" s="46"/>
      <c r="K62" s="46"/>
      <c r="L62" s="46"/>
      <c r="M62" s="46"/>
      <c r="N62" s="46"/>
      <c r="O62" s="46"/>
      <c r="P62" s="47"/>
      <c r="Q62" s="43">
        <f t="shared" si="2"/>
        <v>0</v>
      </c>
      <c r="R62" s="25"/>
    </row>
    <row r="63" spans="2:18" ht="14.4" outlineLevel="1" thickBot="1" x14ac:dyDescent="0.35">
      <c r="B63" s="44"/>
      <c r="C63" s="44"/>
      <c r="D63" s="485"/>
      <c r="E63" s="46"/>
      <c r="F63" s="46"/>
      <c r="G63" s="46"/>
      <c r="H63" s="46"/>
      <c r="I63" s="46"/>
      <c r="J63" s="46"/>
      <c r="K63" s="46"/>
      <c r="L63" s="46"/>
      <c r="M63" s="46"/>
      <c r="N63" s="46"/>
      <c r="O63" s="46"/>
      <c r="P63" s="47"/>
      <c r="Q63" s="43">
        <f t="shared" si="2"/>
        <v>0</v>
      </c>
      <c r="R63" s="25"/>
    </row>
    <row r="64" spans="2:18" ht="14.4" outlineLevel="1" thickBot="1" x14ac:dyDescent="0.35">
      <c r="B64" s="44"/>
      <c r="C64" s="44"/>
      <c r="D64" s="485"/>
      <c r="E64" s="46"/>
      <c r="F64" s="46"/>
      <c r="G64" s="46"/>
      <c r="H64" s="46"/>
      <c r="I64" s="46"/>
      <c r="J64" s="46"/>
      <c r="K64" s="46"/>
      <c r="L64" s="46"/>
      <c r="M64" s="46"/>
      <c r="N64" s="46"/>
      <c r="O64" s="46"/>
      <c r="P64" s="47"/>
      <c r="Q64" s="43">
        <f t="shared" si="2"/>
        <v>0</v>
      </c>
      <c r="R64" s="25"/>
    </row>
    <row r="65" spans="2:18" ht="14.4" outlineLevel="1" thickBot="1" x14ac:dyDescent="0.35">
      <c r="B65" s="44"/>
      <c r="C65" s="44"/>
      <c r="D65" s="485"/>
      <c r="E65" s="46"/>
      <c r="F65" s="46"/>
      <c r="G65" s="46"/>
      <c r="H65" s="46"/>
      <c r="I65" s="46"/>
      <c r="J65" s="46"/>
      <c r="K65" s="46"/>
      <c r="L65" s="46"/>
      <c r="M65" s="46"/>
      <c r="N65" s="46"/>
      <c r="O65" s="46"/>
      <c r="P65" s="47"/>
      <c r="Q65" s="43">
        <f t="shared" si="2"/>
        <v>0</v>
      </c>
      <c r="R65" s="25"/>
    </row>
    <row r="66" spans="2:18" ht="14.4" outlineLevel="1" thickBot="1" x14ac:dyDescent="0.35">
      <c r="B66" s="44"/>
      <c r="C66" s="44"/>
      <c r="D66" s="485"/>
      <c r="E66" s="46"/>
      <c r="F66" s="46"/>
      <c r="G66" s="46"/>
      <c r="H66" s="46"/>
      <c r="I66" s="46"/>
      <c r="J66" s="46"/>
      <c r="K66" s="46"/>
      <c r="L66" s="46"/>
      <c r="M66" s="46"/>
      <c r="N66" s="46"/>
      <c r="O66" s="46"/>
      <c r="P66" s="47"/>
      <c r="Q66" s="43">
        <f t="shared" si="2"/>
        <v>0</v>
      </c>
      <c r="R66" s="25"/>
    </row>
    <row r="67" spans="2:18" ht="14.4" outlineLevel="1" thickBot="1" x14ac:dyDescent="0.35">
      <c r="B67" s="44"/>
      <c r="C67" s="44"/>
      <c r="D67" s="485"/>
      <c r="E67" s="46"/>
      <c r="F67" s="46"/>
      <c r="G67" s="46"/>
      <c r="H67" s="46"/>
      <c r="I67" s="46"/>
      <c r="J67" s="46"/>
      <c r="K67" s="46"/>
      <c r="L67" s="46"/>
      <c r="M67" s="46"/>
      <c r="N67" s="46"/>
      <c r="O67" s="46"/>
      <c r="P67" s="47"/>
      <c r="Q67" s="43">
        <f t="shared" si="2"/>
        <v>0</v>
      </c>
      <c r="R67" s="25"/>
    </row>
    <row r="68" spans="2:18" ht="14.4" outlineLevel="1" thickBot="1" x14ac:dyDescent="0.35">
      <c r="B68" s="44"/>
      <c r="C68" s="44"/>
      <c r="D68" s="485"/>
      <c r="E68" s="46"/>
      <c r="F68" s="46"/>
      <c r="G68" s="46"/>
      <c r="H68" s="46"/>
      <c r="I68" s="46"/>
      <c r="J68" s="46"/>
      <c r="K68" s="46"/>
      <c r="L68" s="46"/>
      <c r="M68" s="46"/>
      <c r="N68" s="46"/>
      <c r="O68" s="46"/>
      <c r="P68" s="47"/>
      <c r="Q68" s="43">
        <f t="shared" si="2"/>
        <v>0</v>
      </c>
      <c r="R68" s="25"/>
    </row>
    <row r="69" spans="2:18" ht="14.4" outlineLevel="1" thickBot="1" x14ac:dyDescent="0.35">
      <c r="B69" s="44"/>
      <c r="C69" s="44"/>
      <c r="D69" s="485"/>
      <c r="E69" s="46"/>
      <c r="F69" s="46"/>
      <c r="G69" s="46"/>
      <c r="H69" s="46"/>
      <c r="I69" s="46"/>
      <c r="J69" s="46"/>
      <c r="K69" s="46"/>
      <c r="L69" s="46"/>
      <c r="M69" s="46"/>
      <c r="N69" s="46"/>
      <c r="O69" s="46"/>
      <c r="P69" s="47"/>
      <c r="Q69" s="43">
        <f t="shared" si="2"/>
        <v>0</v>
      </c>
      <c r="R69" s="25"/>
    </row>
    <row r="70" spans="2:18" ht="14.4" outlineLevel="1" thickBot="1" x14ac:dyDescent="0.35">
      <c r="B70" s="44"/>
      <c r="C70" s="44"/>
      <c r="D70" s="485"/>
      <c r="E70" s="46"/>
      <c r="F70" s="46"/>
      <c r="G70" s="46"/>
      <c r="H70" s="46"/>
      <c r="I70" s="46"/>
      <c r="J70" s="46"/>
      <c r="K70" s="46"/>
      <c r="L70" s="46"/>
      <c r="M70" s="46"/>
      <c r="N70" s="46"/>
      <c r="O70" s="46"/>
      <c r="P70" s="47"/>
      <c r="Q70" s="43">
        <f t="shared" si="2"/>
        <v>0</v>
      </c>
      <c r="R70" s="25"/>
    </row>
    <row r="71" spans="2:18" ht="14.4" outlineLevel="1" thickBot="1" x14ac:dyDescent="0.35">
      <c r="B71" s="44"/>
      <c r="C71" s="44"/>
      <c r="D71" s="485"/>
      <c r="E71" s="46"/>
      <c r="F71" s="46"/>
      <c r="G71" s="46"/>
      <c r="H71" s="46"/>
      <c r="I71" s="46"/>
      <c r="J71" s="46"/>
      <c r="K71" s="46"/>
      <c r="L71" s="46"/>
      <c r="M71" s="46"/>
      <c r="N71" s="46"/>
      <c r="O71" s="46"/>
      <c r="P71" s="47"/>
      <c r="Q71" s="43">
        <f t="shared" si="2"/>
        <v>0</v>
      </c>
      <c r="R71" s="25"/>
    </row>
    <row r="72" spans="2:18" ht="14.4" outlineLevel="1" thickBot="1" x14ac:dyDescent="0.35">
      <c r="B72" s="44"/>
      <c r="C72" s="44"/>
      <c r="D72" s="485"/>
      <c r="E72" s="46"/>
      <c r="F72" s="46"/>
      <c r="G72" s="46"/>
      <c r="H72" s="46"/>
      <c r="I72" s="46"/>
      <c r="J72" s="46"/>
      <c r="K72" s="46"/>
      <c r="L72" s="46"/>
      <c r="M72" s="46"/>
      <c r="N72" s="46"/>
      <c r="O72" s="46"/>
      <c r="P72" s="47"/>
      <c r="Q72" s="43">
        <f t="shared" si="2"/>
        <v>0</v>
      </c>
      <c r="R72" s="25"/>
    </row>
    <row r="73" spans="2:18" ht="14.4" outlineLevel="1" thickBot="1" x14ac:dyDescent="0.35">
      <c r="B73" s="44"/>
      <c r="C73" s="44"/>
      <c r="D73" s="485"/>
      <c r="E73" s="46"/>
      <c r="F73" s="46"/>
      <c r="G73" s="46"/>
      <c r="H73" s="46"/>
      <c r="I73" s="46"/>
      <c r="J73" s="46"/>
      <c r="K73" s="46"/>
      <c r="L73" s="46"/>
      <c r="M73" s="46"/>
      <c r="N73" s="46"/>
      <c r="O73" s="46"/>
      <c r="P73" s="47"/>
      <c r="Q73" s="43">
        <f t="shared" si="2"/>
        <v>0</v>
      </c>
      <c r="R73" s="25"/>
    </row>
    <row r="74" spans="2:18" ht="14.4" outlineLevel="1" thickBot="1" x14ac:dyDescent="0.35">
      <c r="B74" s="44"/>
      <c r="C74" s="44"/>
      <c r="D74" s="485"/>
      <c r="E74" s="46"/>
      <c r="F74" s="46"/>
      <c r="G74" s="46"/>
      <c r="H74" s="46"/>
      <c r="I74" s="46"/>
      <c r="J74" s="46"/>
      <c r="K74" s="46"/>
      <c r="L74" s="46"/>
      <c r="M74" s="46"/>
      <c r="N74" s="46"/>
      <c r="O74" s="46"/>
      <c r="P74" s="47"/>
      <c r="Q74" s="43">
        <f t="shared" si="2"/>
        <v>0</v>
      </c>
      <c r="R74" s="25"/>
    </row>
    <row r="75" spans="2:18" ht="14.4" outlineLevel="1" thickBot="1" x14ac:dyDescent="0.35">
      <c r="B75" s="44"/>
      <c r="C75" s="44"/>
      <c r="D75" s="485"/>
      <c r="E75" s="46"/>
      <c r="F75" s="46"/>
      <c r="G75" s="46"/>
      <c r="H75" s="46"/>
      <c r="I75" s="46"/>
      <c r="J75" s="46"/>
      <c r="K75" s="46"/>
      <c r="L75" s="46"/>
      <c r="M75" s="46"/>
      <c r="N75" s="46"/>
      <c r="O75" s="46"/>
      <c r="P75" s="47"/>
      <c r="Q75" s="43">
        <f t="shared" si="2"/>
        <v>0</v>
      </c>
      <c r="R75" s="25"/>
    </row>
    <row r="76" spans="2:18" ht="14.4" outlineLevel="1" thickBot="1" x14ac:dyDescent="0.35">
      <c r="B76" s="44"/>
      <c r="C76" s="44"/>
      <c r="D76" s="485"/>
      <c r="E76" s="46"/>
      <c r="F76" s="46"/>
      <c r="G76" s="46"/>
      <c r="H76" s="46"/>
      <c r="I76" s="46"/>
      <c r="J76" s="46"/>
      <c r="K76" s="46"/>
      <c r="L76" s="46"/>
      <c r="M76" s="46"/>
      <c r="N76" s="46"/>
      <c r="O76" s="46"/>
      <c r="P76" s="47"/>
      <c r="Q76" s="43">
        <f t="shared" si="2"/>
        <v>0</v>
      </c>
      <c r="R76" s="25"/>
    </row>
    <row r="77" spans="2:18" ht="14.4" outlineLevel="1" thickBot="1" x14ac:dyDescent="0.35">
      <c r="B77" s="44"/>
      <c r="C77" s="44"/>
      <c r="D77" s="485"/>
      <c r="E77" s="46"/>
      <c r="F77" s="46"/>
      <c r="G77" s="46"/>
      <c r="H77" s="46"/>
      <c r="I77" s="46"/>
      <c r="J77" s="46"/>
      <c r="K77" s="46"/>
      <c r="L77" s="46"/>
      <c r="M77" s="46"/>
      <c r="N77" s="46"/>
      <c r="O77" s="46"/>
      <c r="P77" s="47"/>
      <c r="Q77" s="43">
        <f t="shared" si="2"/>
        <v>0</v>
      </c>
      <c r="R77" s="25"/>
    </row>
    <row r="78" spans="2:18" ht="14.4" outlineLevel="1" thickBot="1" x14ac:dyDescent="0.35">
      <c r="B78" s="44"/>
      <c r="C78" s="44"/>
      <c r="D78" s="485"/>
      <c r="E78" s="46"/>
      <c r="F78" s="46"/>
      <c r="G78" s="46"/>
      <c r="H78" s="46"/>
      <c r="I78" s="46"/>
      <c r="J78" s="46"/>
      <c r="K78" s="46"/>
      <c r="L78" s="46"/>
      <c r="M78" s="46"/>
      <c r="N78" s="46"/>
      <c r="O78" s="46"/>
      <c r="P78" s="47"/>
      <c r="Q78" s="43">
        <f t="shared" si="2"/>
        <v>0</v>
      </c>
      <c r="R78" s="25"/>
    </row>
    <row r="79" spans="2:18" ht="14.4" outlineLevel="1" thickBot="1" x14ac:dyDescent="0.35">
      <c r="B79" s="44"/>
      <c r="C79" s="44"/>
      <c r="D79" s="485"/>
      <c r="E79" s="46"/>
      <c r="F79" s="46"/>
      <c r="G79" s="46"/>
      <c r="H79" s="46"/>
      <c r="I79" s="46"/>
      <c r="J79" s="46"/>
      <c r="K79" s="46"/>
      <c r="L79" s="46"/>
      <c r="M79" s="46"/>
      <c r="N79" s="46"/>
      <c r="O79" s="46"/>
      <c r="P79" s="47"/>
      <c r="Q79" s="43">
        <f t="shared" si="2"/>
        <v>0</v>
      </c>
      <c r="R79" s="25"/>
    </row>
    <row r="80" spans="2:18" ht="14.4" outlineLevel="1" thickBot="1" x14ac:dyDescent="0.35">
      <c r="B80" s="44"/>
      <c r="C80" s="44"/>
      <c r="D80" s="485"/>
      <c r="E80" s="46"/>
      <c r="F80" s="46"/>
      <c r="G80" s="46"/>
      <c r="H80" s="46"/>
      <c r="I80" s="46"/>
      <c r="J80" s="46"/>
      <c r="K80" s="46"/>
      <c r="L80" s="46"/>
      <c r="M80" s="46"/>
      <c r="N80" s="46"/>
      <c r="O80" s="46"/>
      <c r="P80" s="47"/>
      <c r="Q80" s="43">
        <f t="shared" si="2"/>
        <v>0</v>
      </c>
      <c r="R80" s="25"/>
    </row>
    <row r="81" spans="2:18" ht="14.4" outlineLevel="1" thickBot="1" x14ac:dyDescent="0.35">
      <c r="B81" s="44"/>
      <c r="C81" s="44"/>
      <c r="D81" s="485"/>
      <c r="E81" s="46"/>
      <c r="F81" s="46"/>
      <c r="G81" s="46"/>
      <c r="H81" s="46"/>
      <c r="I81" s="46"/>
      <c r="J81" s="46"/>
      <c r="K81" s="46"/>
      <c r="L81" s="46"/>
      <c r="M81" s="46"/>
      <c r="N81" s="46"/>
      <c r="O81" s="46"/>
      <c r="P81" s="47"/>
      <c r="Q81" s="43">
        <f t="shared" si="2"/>
        <v>0</v>
      </c>
      <c r="R81" s="25"/>
    </row>
    <row r="82" spans="2:18" ht="14.4" outlineLevel="1" thickBot="1" x14ac:dyDescent="0.35">
      <c r="B82" s="44"/>
      <c r="C82" s="44"/>
      <c r="D82" s="485"/>
      <c r="E82" s="46"/>
      <c r="F82" s="46"/>
      <c r="G82" s="46"/>
      <c r="H82" s="46"/>
      <c r="I82" s="46"/>
      <c r="J82" s="46"/>
      <c r="K82" s="46"/>
      <c r="L82" s="46"/>
      <c r="M82" s="46"/>
      <c r="N82" s="46"/>
      <c r="O82" s="46"/>
      <c r="P82" s="47"/>
      <c r="Q82" s="43">
        <f t="shared" si="2"/>
        <v>0</v>
      </c>
      <c r="R82" s="25"/>
    </row>
    <row r="83" spans="2:18" ht="14.4" outlineLevel="1" thickBot="1" x14ac:dyDescent="0.35">
      <c r="B83" s="44"/>
      <c r="C83" s="44"/>
      <c r="D83" s="485"/>
      <c r="E83" s="46"/>
      <c r="F83" s="46"/>
      <c r="G83" s="46"/>
      <c r="H83" s="46"/>
      <c r="I83" s="46"/>
      <c r="J83" s="46"/>
      <c r="K83" s="46"/>
      <c r="L83" s="46"/>
      <c r="M83" s="46"/>
      <c r="N83" s="46"/>
      <c r="O83" s="46"/>
      <c r="P83" s="47"/>
      <c r="Q83" s="43">
        <f t="shared" si="2"/>
        <v>0</v>
      </c>
      <c r="R83" s="25"/>
    </row>
    <row r="84" spans="2:18" ht="14.4" outlineLevel="1" thickBot="1" x14ac:dyDescent="0.35">
      <c r="B84" s="44"/>
      <c r="C84" s="44"/>
      <c r="D84" s="485"/>
      <c r="E84" s="46"/>
      <c r="F84" s="46"/>
      <c r="G84" s="46"/>
      <c r="H84" s="46"/>
      <c r="I84" s="46"/>
      <c r="J84" s="46"/>
      <c r="K84" s="46"/>
      <c r="L84" s="46"/>
      <c r="M84" s="46"/>
      <c r="N84" s="46"/>
      <c r="O84" s="46"/>
      <c r="P84" s="47"/>
      <c r="Q84" s="43">
        <f t="shared" si="2"/>
        <v>0</v>
      </c>
      <c r="R84" s="25"/>
    </row>
    <row r="85" spans="2:18" ht="14.4" outlineLevel="1" thickBot="1" x14ac:dyDescent="0.35">
      <c r="B85" s="44"/>
      <c r="C85" s="44"/>
      <c r="D85" s="485"/>
      <c r="E85" s="46"/>
      <c r="F85" s="46"/>
      <c r="G85" s="46"/>
      <c r="H85" s="46"/>
      <c r="I85" s="46"/>
      <c r="J85" s="46"/>
      <c r="K85" s="46"/>
      <c r="L85" s="46"/>
      <c r="M85" s="46"/>
      <c r="N85" s="46"/>
      <c r="O85" s="46"/>
      <c r="P85" s="47"/>
      <c r="Q85" s="43">
        <f t="shared" si="2"/>
        <v>0</v>
      </c>
      <c r="R85" s="25"/>
    </row>
    <row r="86" spans="2:18" ht="14.4" outlineLevel="1" thickBot="1" x14ac:dyDescent="0.35">
      <c r="B86" s="44"/>
      <c r="C86" s="44"/>
      <c r="D86" s="485"/>
      <c r="E86" s="46"/>
      <c r="F86" s="46"/>
      <c r="G86" s="46"/>
      <c r="H86" s="46"/>
      <c r="I86" s="46"/>
      <c r="J86" s="46"/>
      <c r="K86" s="46"/>
      <c r="L86" s="46"/>
      <c r="M86" s="46"/>
      <c r="N86" s="46"/>
      <c r="O86" s="46"/>
      <c r="P86" s="47"/>
      <c r="Q86" s="43">
        <f t="shared" si="2"/>
        <v>0</v>
      </c>
      <c r="R86" s="25"/>
    </row>
    <row r="87" spans="2:18" ht="14.4" outlineLevel="1" thickBot="1" x14ac:dyDescent="0.35">
      <c r="B87" s="44"/>
      <c r="C87" s="44"/>
      <c r="D87" s="485"/>
      <c r="E87" s="46"/>
      <c r="F87" s="46"/>
      <c r="G87" s="46"/>
      <c r="H87" s="46"/>
      <c r="I87" s="46"/>
      <c r="J87" s="46"/>
      <c r="K87" s="46"/>
      <c r="L87" s="46"/>
      <c r="M87" s="46"/>
      <c r="N87" s="46"/>
      <c r="O87" s="46"/>
      <c r="P87" s="47"/>
      <c r="Q87" s="43">
        <f t="shared" si="2"/>
        <v>0</v>
      </c>
      <c r="R87" s="25"/>
    </row>
    <row r="88" spans="2:18" ht="14.4" outlineLevel="1" thickBot="1" x14ac:dyDescent="0.35">
      <c r="B88" s="44"/>
      <c r="C88" s="44"/>
      <c r="D88" s="485"/>
      <c r="E88" s="46"/>
      <c r="F88" s="46"/>
      <c r="G88" s="46"/>
      <c r="H88" s="46"/>
      <c r="I88" s="46"/>
      <c r="J88" s="46"/>
      <c r="K88" s="46"/>
      <c r="L88" s="46"/>
      <c r="M88" s="46"/>
      <c r="N88" s="46"/>
      <c r="O88" s="46"/>
      <c r="P88" s="47"/>
      <c r="Q88" s="43">
        <f t="shared" si="2"/>
        <v>0</v>
      </c>
      <c r="R88" s="25"/>
    </row>
    <row r="89" spans="2:18" ht="14.4" outlineLevel="1" thickBot="1" x14ac:dyDescent="0.35">
      <c r="B89" s="44"/>
      <c r="C89" s="44"/>
      <c r="D89" s="485"/>
      <c r="E89" s="46"/>
      <c r="F89" s="46"/>
      <c r="G89" s="46"/>
      <c r="H89" s="46"/>
      <c r="I89" s="46"/>
      <c r="J89" s="46"/>
      <c r="K89" s="46"/>
      <c r="L89" s="46"/>
      <c r="M89" s="46"/>
      <c r="N89" s="46"/>
      <c r="O89" s="46"/>
      <c r="P89" s="47"/>
      <c r="Q89" s="43">
        <f t="shared" si="2"/>
        <v>0</v>
      </c>
      <c r="R89" s="25"/>
    </row>
    <row r="90" spans="2:18" ht="14.4" outlineLevel="1" thickBot="1" x14ac:dyDescent="0.35">
      <c r="B90" s="44"/>
      <c r="C90" s="44"/>
      <c r="D90" s="485"/>
      <c r="E90" s="46"/>
      <c r="F90" s="46"/>
      <c r="G90" s="46"/>
      <c r="H90" s="46"/>
      <c r="I90" s="46"/>
      <c r="J90" s="46"/>
      <c r="K90" s="46"/>
      <c r="L90" s="46"/>
      <c r="M90" s="46"/>
      <c r="N90" s="46"/>
      <c r="O90" s="46"/>
      <c r="P90" s="47"/>
      <c r="Q90" s="43">
        <f t="shared" si="2"/>
        <v>0</v>
      </c>
      <c r="R90" s="25"/>
    </row>
    <row r="91" spans="2:18" ht="14.4" outlineLevel="1" thickBot="1" x14ac:dyDescent="0.35">
      <c r="B91" s="44"/>
      <c r="C91" s="44"/>
      <c r="D91" s="485"/>
      <c r="E91" s="46"/>
      <c r="F91" s="46"/>
      <c r="G91" s="46"/>
      <c r="H91" s="46"/>
      <c r="I91" s="46"/>
      <c r="J91" s="46"/>
      <c r="K91" s="46"/>
      <c r="L91" s="46"/>
      <c r="M91" s="46"/>
      <c r="N91" s="46"/>
      <c r="O91" s="46"/>
      <c r="P91" s="47"/>
      <c r="Q91" s="43">
        <f t="shared" si="2"/>
        <v>0</v>
      </c>
      <c r="R91" s="25"/>
    </row>
    <row r="92" spans="2:18" ht="14.4" outlineLevel="1" thickBot="1" x14ac:dyDescent="0.35">
      <c r="B92" s="44"/>
      <c r="C92" s="44"/>
      <c r="D92" s="485"/>
      <c r="E92" s="46"/>
      <c r="F92" s="46"/>
      <c r="G92" s="46"/>
      <c r="H92" s="46"/>
      <c r="I92" s="46"/>
      <c r="J92" s="46"/>
      <c r="K92" s="46"/>
      <c r="L92" s="46"/>
      <c r="M92" s="46"/>
      <c r="N92" s="46"/>
      <c r="O92" s="46"/>
      <c r="P92" s="47"/>
      <c r="Q92" s="43">
        <f t="shared" si="2"/>
        <v>0</v>
      </c>
      <c r="R92" s="25"/>
    </row>
    <row r="93" spans="2:18" ht="14.4" outlineLevel="1" thickBot="1" x14ac:dyDescent="0.35">
      <c r="B93" s="44"/>
      <c r="C93" s="44"/>
      <c r="D93" s="485"/>
      <c r="E93" s="46"/>
      <c r="F93" s="46"/>
      <c r="G93" s="46"/>
      <c r="H93" s="46"/>
      <c r="I93" s="46"/>
      <c r="J93" s="46"/>
      <c r="K93" s="46"/>
      <c r="L93" s="46"/>
      <c r="M93" s="46"/>
      <c r="N93" s="46"/>
      <c r="O93" s="46"/>
      <c r="P93" s="47"/>
      <c r="Q93" s="43">
        <f t="shared" si="2"/>
        <v>0</v>
      </c>
      <c r="R93" s="25"/>
    </row>
    <row r="94" spans="2:18" ht="14.4" outlineLevel="1" thickBot="1" x14ac:dyDescent="0.35">
      <c r="B94" s="44"/>
      <c r="C94" s="44"/>
      <c r="D94" s="485"/>
      <c r="E94" s="46"/>
      <c r="F94" s="46"/>
      <c r="G94" s="46"/>
      <c r="H94" s="46"/>
      <c r="I94" s="46"/>
      <c r="J94" s="46"/>
      <c r="K94" s="46"/>
      <c r="L94" s="46"/>
      <c r="M94" s="46"/>
      <c r="N94" s="46"/>
      <c r="O94" s="46"/>
      <c r="P94" s="47"/>
      <c r="Q94" s="43">
        <f t="shared" si="2"/>
        <v>0</v>
      </c>
      <c r="R94" s="25"/>
    </row>
    <row r="95" spans="2:18" ht="14.4" outlineLevel="1" thickBot="1" x14ac:dyDescent="0.35">
      <c r="B95" s="44"/>
      <c r="C95" s="44"/>
      <c r="D95" s="485"/>
      <c r="E95" s="46"/>
      <c r="F95" s="46"/>
      <c r="G95" s="46"/>
      <c r="H95" s="46"/>
      <c r="I95" s="46"/>
      <c r="J95" s="46"/>
      <c r="K95" s="46"/>
      <c r="L95" s="46"/>
      <c r="M95" s="46"/>
      <c r="N95" s="46"/>
      <c r="O95" s="46"/>
      <c r="P95" s="47"/>
      <c r="Q95" s="43">
        <f t="shared" si="2"/>
        <v>0</v>
      </c>
      <c r="R95" s="25"/>
    </row>
    <row r="96" spans="2:18" ht="14.4" outlineLevel="1" thickBot="1" x14ac:dyDescent="0.35">
      <c r="B96" s="44"/>
      <c r="C96" s="44"/>
      <c r="D96" s="485"/>
      <c r="E96" s="46"/>
      <c r="F96" s="46"/>
      <c r="G96" s="46"/>
      <c r="H96" s="46"/>
      <c r="I96" s="46"/>
      <c r="J96" s="46"/>
      <c r="K96" s="46"/>
      <c r="L96" s="46"/>
      <c r="M96" s="46"/>
      <c r="N96" s="46"/>
      <c r="O96" s="46"/>
      <c r="P96" s="47"/>
      <c r="Q96" s="43">
        <f t="shared" si="2"/>
        <v>0</v>
      </c>
      <c r="R96" s="25"/>
    </row>
    <row r="97" spans="2:18" ht="14.4" outlineLevel="1" thickBot="1" x14ac:dyDescent="0.35">
      <c r="B97" s="44"/>
      <c r="C97" s="44"/>
      <c r="D97" s="485"/>
      <c r="E97" s="46"/>
      <c r="F97" s="46"/>
      <c r="G97" s="46"/>
      <c r="H97" s="46"/>
      <c r="I97" s="46"/>
      <c r="J97" s="46"/>
      <c r="K97" s="46"/>
      <c r="L97" s="46"/>
      <c r="M97" s="46"/>
      <c r="N97" s="46"/>
      <c r="O97" s="46"/>
      <c r="P97" s="47"/>
      <c r="Q97" s="43">
        <f t="shared" si="2"/>
        <v>0</v>
      </c>
      <c r="R97" s="25"/>
    </row>
    <row r="98" spans="2:18" ht="14.4" outlineLevel="1" thickBot="1" x14ac:dyDescent="0.35">
      <c r="B98" s="44"/>
      <c r="C98" s="44"/>
      <c r="D98" s="485"/>
      <c r="E98" s="46"/>
      <c r="F98" s="46"/>
      <c r="G98" s="46"/>
      <c r="H98" s="46"/>
      <c r="I98" s="46"/>
      <c r="J98" s="46"/>
      <c r="K98" s="46"/>
      <c r="L98" s="46"/>
      <c r="M98" s="46"/>
      <c r="N98" s="46"/>
      <c r="O98" s="46"/>
      <c r="P98" s="47"/>
      <c r="Q98" s="43">
        <f t="shared" si="2"/>
        <v>0</v>
      </c>
      <c r="R98" s="25"/>
    </row>
    <row r="99" spans="2:18" ht="14.4" outlineLevel="1" thickBot="1" x14ac:dyDescent="0.35">
      <c r="B99" s="44"/>
      <c r="C99" s="44"/>
      <c r="D99" s="485"/>
      <c r="E99" s="46"/>
      <c r="F99" s="46"/>
      <c r="G99" s="46"/>
      <c r="H99" s="46"/>
      <c r="I99" s="46"/>
      <c r="J99" s="46"/>
      <c r="K99" s="46"/>
      <c r="L99" s="46"/>
      <c r="M99" s="46"/>
      <c r="N99" s="46"/>
      <c r="O99" s="46"/>
      <c r="P99" s="47"/>
      <c r="Q99" s="43">
        <f t="shared" si="2"/>
        <v>0</v>
      </c>
      <c r="R99" s="25"/>
    </row>
    <row r="100" spans="2:18" ht="14.4" outlineLevel="1" thickBot="1" x14ac:dyDescent="0.35">
      <c r="B100" s="44"/>
      <c r="C100" s="44"/>
      <c r="D100" s="485"/>
      <c r="E100" s="46"/>
      <c r="F100" s="46"/>
      <c r="G100" s="46"/>
      <c r="H100" s="46"/>
      <c r="I100" s="46"/>
      <c r="J100" s="46"/>
      <c r="K100" s="46"/>
      <c r="L100" s="46"/>
      <c r="M100" s="46"/>
      <c r="N100" s="46"/>
      <c r="O100" s="46"/>
      <c r="P100" s="47"/>
      <c r="Q100" s="43">
        <f t="shared" si="2"/>
        <v>0</v>
      </c>
      <c r="R100" s="25"/>
    </row>
    <row r="101" spans="2:18" outlineLevel="1" x14ac:dyDescent="0.3">
      <c r="B101" s="44"/>
      <c r="C101" s="44"/>
      <c r="D101" s="485"/>
      <c r="E101" s="46"/>
      <c r="F101" s="46"/>
      <c r="G101" s="46"/>
      <c r="H101" s="46"/>
      <c r="I101" s="46"/>
      <c r="J101" s="46"/>
      <c r="K101" s="46"/>
      <c r="L101" s="46"/>
      <c r="M101" s="46"/>
      <c r="N101" s="46"/>
      <c r="O101" s="46"/>
      <c r="P101" s="47"/>
      <c r="Q101" s="716">
        <f t="shared" si="2"/>
        <v>0</v>
      </c>
      <c r="R101" s="25"/>
    </row>
    <row r="102" spans="2:18" ht="6.6" customHeight="1" outlineLevel="1" thickBot="1" x14ac:dyDescent="0.35">
      <c r="B102" s="712"/>
      <c r="C102" s="712"/>
      <c r="D102" s="713"/>
      <c r="E102" s="33"/>
      <c r="F102" s="33"/>
      <c r="G102" s="33"/>
      <c r="H102" s="33"/>
      <c r="I102" s="33"/>
      <c r="J102" s="33"/>
      <c r="K102" s="33"/>
      <c r="L102" s="33"/>
      <c r="M102" s="33"/>
      <c r="N102" s="33"/>
      <c r="O102" s="33"/>
      <c r="P102" s="33"/>
      <c r="Q102" s="715"/>
      <c r="R102" s="238"/>
    </row>
    <row r="103" spans="2:18" ht="14.4" thickBot="1" x14ac:dyDescent="0.35">
      <c r="B103" s="49" t="s">
        <v>323</v>
      </c>
      <c r="C103" s="49" t="s">
        <v>18</v>
      </c>
      <c r="D103" s="49"/>
      <c r="E103" s="50">
        <f t="shared" ref="E103:P103" si="3">SUM(E6:E101)</f>
        <v>0</v>
      </c>
      <c r="F103" s="50">
        <f t="shared" si="3"/>
        <v>0</v>
      </c>
      <c r="G103" s="50">
        <f t="shared" si="3"/>
        <v>0</v>
      </c>
      <c r="H103" s="50">
        <f t="shared" si="3"/>
        <v>0</v>
      </c>
      <c r="I103" s="50">
        <f t="shared" si="3"/>
        <v>0</v>
      </c>
      <c r="J103" s="50">
        <f t="shared" si="3"/>
        <v>0</v>
      </c>
      <c r="K103" s="50">
        <f t="shared" si="3"/>
        <v>0</v>
      </c>
      <c r="L103" s="50">
        <f t="shared" si="3"/>
        <v>0</v>
      </c>
      <c r="M103" s="50">
        <f t="shared" si="3"/>
        <v>0</v>
      </c>
      <c r="N103" s="50">
        <f t="shared" si="3"/>
        <v>0</v>
      </c>
      <c r="O103" s="50">
        <f t="shared" si="3"/>
        <v>0</v>
      </c>
      <c r="P103" s="43">
        <f t="shared" si="3"/>
        <v>0</v>
      </c>
      <c r="Q103" s="43">
        <f t="shared" ref="Q103" si="4">SUM(E103:P103)</f>
        <v>0</v>
      </c>
      <c r="R103" s="25"/>
    </row>
    <row r="105" spans="2:18" x14ac:dyDescent="0.3">
      <c r="Q105" s="52" t="e">
        <f>+Q103/B3</f>
        <v>#DIV/0!</v>
      </c>
    </row>
    <row r="106" spans="2:18" x14ac:dyDescent="0.3">
      <c r="Q106" s="53" t="s">
        <v>213</v>
      </c>
    </row>
    <row r="110" spans="2:18" x14ac:dyDescent="0.3">
      <c r="P110" s="33"/>
    </row>
  </sheetData>
  <autoFilter ref="B5:R5" xr:uid="{9D643A32-47F3-47B2-99B7-9E0ADBAB8D1F}"/>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C084CA-9C16-4879-8064-F83639D19339}">
          <x14:formula1>
            <xm:f>'OpStatement List - Dropdowns'!$I$11:$I$35</xm:f>
          </x14:formula1>
          <xm:sqref>B6:B102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68876-D46E-4826-B568-B236AA3B9BDD}">
  <sheetPr>
    <tabColor theme="3" tint="0.249977111117893"/>
  </sheetPr>
  <dimension ref="A1:AH127"/>
  <sheetViews>
    <sheetView topLeftCell="A19" workbookViewId="0">
      <selection activeCell="G45" sqref="G45"/>
    </sheetView>
  </sheetViews>
  <sheetFormatPr defaultRowHeight="13.8" x14ac:dyDescent="0.3"/>
  <cols>
    <col min="1" max="1" width="2.33203125" style="2" customWidth="1"/>
    <col min="2" max="2" width="27.33203125" style="96" bestFit="1" customWidth="1"/>
    <col min="3" max="3" width="25.6640625" style="9" customWidth="1"/>
    <col min="4" max="4" width="16.109375" style="9" customWidth="1"/>
    <col min="5" max="5" width="0.6640625" style="9" customWidth="1"/>
    <col min="6" max="6" width="14.109375" style="9" customWidth="1"/>
    <col min="7" max="7" width="20.44140625" style="9" customWidth="1"/>
    <col min="8" max="8" width="24.88671875" style="9" customWidth="1"/>
    <col min="9" max="9" width="0.6640625" style="2" customWidth="1"/>
    <col min="10" max="10" width="11" style="3" bestFit="1" customWidth="1"/>
    <col min="11" max="11" width="12.33203125" style="3" customWidth="1"/>
    <col min="12" max="34" width="8.88671875" style="3"/>
    <col min="35" max="16384" width="8.88671875" style="2"/>
  </cols>
  <sheetData>
    <row r="1" spans="1:12" x14ac:dyDescent="0.3">
      <c r="A1" s="3"/>
      <c r="B1" s="54"/>
      <c r="C1" s="55"/>
      <c r="D1" s="55"/>
      <c r="E1" s="55"/>
      <c r="F1" s="55"/>
      <c r="G1" s="55"/>
      <c r="H1" s="55"/>
      <c r="I1" s="3"/>
    </row>
    <row r="2" spans="1:12" x14ac:dyDescent="0.3">
      <c r="A2" s="3"/>
      <c r="B2" s="54"/>
      <c r="C2" s="55"/>
      <c r="D2" s="55"/>
      <c r="E2" s="55"/>
      <c r="F2" s="55"/>
      <c r="G2" s="55"/>
      <c r="H2" s="55"/>
      <c r="I2" s="3"/>
    </row>
    <row r="3" spans="1:12" x14ac:dyDescent="0.3">
      <c r="A3" s="3"/>
      <c r="B3" s="56"/>
      <c r="C3" s="57"/>
      <c r="D3" s="57"/>
      <c r="E3" s="57"/>
      <c r="F3" s="57"/>
      <c r="G3" s="57"/>
      <c r="H3" s="57"/>
      <c r="I3" s="57"/>
      <c r="J3" s="57"/>
      <c r="K3" s="57"/>
      <c r="L3" s="57"/>
    </row>
    <row r="4" spans="1:12" x14ac:dyDescent="0.3">
      <c r="A4" s="3"/>
      <c r="B4" s="57"/>
      <c r="C4" s="57"/>
      <c r="D4" s="57"/>
      <c r="E4" s="57"/>
      <c r="F4" s="57"/>
      <c r="G4" s="57"/>
      <c r="H4" s="57"/>
      <c r="I4" s="57"/>
      <c r="J4" s="57"/>
      <c r="K4" s="57"/>
      <c r="L4" s="57"/>
    </row>
    <row r="5" spans="1:12" x14ac:dyDescent="0.3">
      <c r="A5" s="3"/>
      <c r="B5" s="58" t="s">
        <v>199</v>
      </c>
      <c r="C5" s="59">
        <f>IF('Proforma (Annual)'!C2="",'Lease-Up Proforma'!C2,'Proforma (Annual)'!C2)</f>
        <v>0</v>
      </c>
      <c r="D5" s="57"/>
      <c r="E5" s="57"/>
      <c r="F5" s="57"/>
      <c r="G5" s="57"/>
      <c r="H5" s="57"/>
      <c r="I5" s="57"/>
      <c r="J5" s="57"/>
      <c r="K5" s="57"/>
      <c r="L5" s="57"/>
    </row>
    <row r="6" spans="1:12" x14ac:dyDescent="0.3">
      <c r="A6" s="3"/>
      <c r="B6" s="60" t="s">
        <v>74</v>
      </c>
      <c r="C6" s="481">
        <f>'Rent Schedule'!E31</f>
        <v>0</v>
      </c>
      <c r="D6" s="61"/>
      <c r="E6" s="61"/>
      <c r="F6" s="61"/>
      <c r="G6" s="61"/>
      <c r="H6" s="61"/>
      <c r="I6" s="61"/>
      <c r="J6" s="61"/>
      <c r="K6" s="61"/>
      <c r="L6" s="61"/>
    </row>
    <row r="7" spans="1:12" x14ac:dyDescent="0.3">
      <c r="A7" s="3"/>
      <c r="B7" s="54"/>
      <c r="C7" s="55"/>
      <c r="D7" s="55"/>
      <c r="E7" s="55"/>
      <c r="F7" s="55"/>
      <c r="G7" s="55"/>
      <c r="H7" s="55"/>
      <c r="I7" s="3"/>
    </row>
    <row r="8" spans="1:12" x14ac:dyDescent="0.3">
      <c r="A8" s="3"/>
      <c r="B8" s="54"/>
      <c r="C8" s="55"/>
      <c r="D8" s="55"/>
      <c r="E8" s="55"/>
      <c r="F8" s="55"/>
      <c r="G8" s="55"/>
      <c r="H8" s="55"/>
      <c r="I8" s="3"/>
    </row>
    <row r="9" spans="1:12" s="3" customFormat="1" x14ac:dyDescent="0.3">
      <c r="B9" s="62" t="s">
        <v>212</v>
      </c>
      <c r="C9" s="62">
        <f>SUM(J21,J34,F40,F51)</f>
        <v>588812.80000000005</v>
      </c>
      <c r="D9" s="63"/>
      <c r="E9" s="63"/>
      <c r="F9" s="63"/>
      <c r="G9" s="55"/>
      <c r="H9" s="55"/>
    </row>
    <row r="10" spans="1:12" s="3" customFormat="1" x14ac:dyDescent="0.3">
      <c r="B10" s="64" t="s">
        <v>213</v>
      </c>
      <c r="C10" s="65" t="e">
        <f>C9/C6</f>
        <v>#DIV/0!</v>
      </c>
      <c r="D10" s="63"/>
      <c r="E10" s="63"/>
      <c r="F10" s="63"/>
      <c r="G10" s="55"/>
      <c r="H10" s="55"/>
    </row>
    <row r="11" spans="1:12" s="3" customFormat="1" x14ac:dyDescent="0.3">
      <c r="B11" s="66"/>
      <c r="C11" s="55"/>
      <c r="D11" s="63"/>
      <c r="E11" s="63"/>
      <c r="F11" s="63"/>
      <c r="G11" s="55"/>
      <c r="H11" s="55"/>
    </row>
    <row r="12" spans="1:12" s="3" customFormat="1" x14ac:dyDescent="0.3">
      <c r="B12" s="66"/>
      <c r="C12" s="55"/>
      <c r="D12" s="55"/>
      <c r="E12" s="55"/>
      <c r="F12" s="55"/>
      <c r="G12" s="55"/>
      <c r="H12" s="55"/>
    </row>
    <row r="13" spans="1:12" x14ac:dyDescent="0.3">
      <c r="A13" s="3"/>
      <c r="B13" s="67" t="s">
        <v>354</v>
      </c>
      <c r="C13" s="55"/>
      <c r="D13" s="55"/>
      <c r="E13" s="55"/>
      <c r="F13" s="55"/>
      <c r="G13" s="55"/>
      <c r="H13" s="68">
        <v>0.28000000000000003</v>
      </c>
      <c r="I13" s="3"/>
    </row>
    <row r="14" spans="1:12" x14ac:dyDescent="0.3">
      <c r="A14" s="3"/>
      <c r="B14" s="69" t="s">
        <v>200</v>
      </c>
      <c r="C14" s="59" t="s">
        <v>201</v>
      </c>
      <c r="D14" s="661" t="s">
        <v>202</v>
      </c>
      <c r="E14" s="660"/>
      <c r="F14" s="59" t="s">
        <v>203</v>
      </c>
      <c r="G14" s="59" t="s">
        <v>205</v>
      </c>
      <c r="H14" s="59" t="s">
        <v>206</v>
      </c>
      <c r="I14" s="3"/>
    </row>
    <row r="15" spans="1:12" x14ac:dyDescent="0.3">
      <c r="A15" s="3"/>
      <c r="B15" s="70" t="s">
        <v>207</v>
      </c>
      <c r="C15" s="71">
        <v>2080</v>
      </c>
      <c r="D15" s="72">
        <v>95000</v>
      </c>
      <c r="E15" s="72"/>
      <c r="F15" s="73"/>
      <c r="G15" s="74">
        <f t="shared" ref="G15:G20" si="0">IF(D15&gt;0, D15, C15*F15)</f>
        <v>95000</v>
      </c>
      <c r="H15" s="74">
        <f>G15*$H$13</f>
        <v>26600.000000000004</v>
      </c>
      <c r="I15" s="3"/>
    </row>
    <row r="16" spans="1:12" x14ac:dyDescent="0.3">
      <c r="A16" s="3"/>
      <c r="B16" s="75" t="s">
        <v>208</v>
      </c>
      <c r="C16" s="76">
        <v>2080</v>
      </c>
      <c r="D16" s="77"/>
      <c r="E16" s="77"/>
      <c r="F16" s="78">
        <v>25</v>
      </c>
      <c r="G16" s="79">
        <f t="shared" si="0"/>
        <v>52000</v>
      </c>
      <c r="H16" s="79">
        <f t="shared" ref="H16:H20" si="1">G16*$H$13</f>
        <v>14560.000000000002</v>
      </c>
      <c r="I16" s="3"/>
    </row>
    <row r="17" spans="1:11" x14ac:dyDescent="0.3">
      <c r="A17" s="3"/>
      <c r="B17" s="75" t="s">
        <v>219</v>
      </c>
      <c r="C17" s="76">
        <v>2080</v>
      </c>
      <c r="D17" s="77"/>
      <c r="E17" s="77"/>
      <c r="F17" s="78">
        <v>20</v>
      </c>
      <c r="G17" s="79">
        <f t="shared" si="0"/>
        <v>41600</v>
      </c>
      <c r="H17" s="79">
        <f t="shared" si="1"/>
        <v>11648.000000000002</v>
      </c>
      <c r="I17" s="3"/>
    </row>
    <row r="18" spans="1:11" x14ac:dyDescent="0.3">
      <c r="A18" s="3"/>
      <c r="B18" s="75" t="s">
        <v>219</v>
      </c>
      <c r="C18" s="76">
        <v>2080</v>
      </c>
      <c r="D18" s="77"/>
      <c r="E18" s="77"/>
      <c r="F18" s="78">
        <v>19</v>
      </c>
      <c r="G18" s="79">
        <f t="shared" si="0"/>
        <v>39520</v>
      </c>
      <c r="H18" s="79">
        <f t="shared" si="1"/>
        <v>11065.6</v>
      </c>
      <c r="I18" s="3"/>
    </row>
    <row r="19" spans="1:11" x14ac:dyDescent="0.3">
      <c r="A19" s="3"/>
      <c r="B19" s="75"/>
      <c r="C19" s="76"/>
      <c r="D19" s="77"/>
      <c r="E19" s="77"/>
      <c r="F19" s="78"/>
      <c r="G19" s="79">
        <f t="shared" si="0"/>
        <v>0</v>
      </c>
      <c r="H19" s="79">
        <f t="shared" si="1"/>
        <v>0</v>
      </c>
      <c r="I19" s="3"/>
    </row>
    <row r="20" spans="1:11" x14ac:dyDescent="0.3">
      <c r="A20" s="3"/>
      <c r="B20" s="80"/>
      <c r="C20" s="81"/>
      <c r="D20" s="82"/>
      <c r="E20" s="82"/>
      <c r="F20" s="83"/>
      <c r="G20" s="84">
        <f t="shared" si="0"/>
        <v>0</v>
      </c>
      <c r="H20" s="84">
        <f t="shared" si="1"/>
        <v>0</v>
      </c>
      <c r="I20" s="3"/>
    </row>
    <row r="21" spans="1:11" x14ac:dyDescent="0.3">
      <c r="A21" s="3"/>
      <c r="B21" s="85"/>
      <c r="C21" s="76"/>
      <c r="D21" s="723" t="s">
        <v>355</v>
      </c>
      <c r="E21" s="724"/>
      <c r="F21" s="725"/>
      <c r="G21" s="86">
        <f>SUM(G15:G20)</f>
        <v>228120</v>
      </c>
      <c r="H21" s="86">
        <f>SUM(H15:H20)</f>
        <v>63873.600000000006</v>
      </c>
      <c r="I21" s="3"/>
      <c r="J21" s="87">
        <f>SUM(G21:H21)</f>
        <v>291993.59999999998</v>
      </c>
      <c r="K21" s="39" t="s">
        <v>18</v>
      </c>
    </row>
    <row r="22" spans="1:11" s="3" customFormat="1" x14ac:dyDescent="0.3">
      <c r="B22" s="88"/>
      <c r="C22" s="89"/>
      <c r="D22" s="90"/>
      <c r="E22" s="90"/>
      <c r="F22" s="91"/>
      <c r="G22" s="92"/>
      <c r="H22" s="92"/>
    </row>
    <row r="23" spans="1:11" x14ac:dyDescent="0.3">
      <c r="A23" s="3"/>
      <c r="B23" s="54"/>
      <c r="C23" s="55"/>
      <c r="D23" s="55"/>
      <c r="E23" s="55"/>
      <c r="F23" s="93"/>
      <c r="G23" s="92"/>
      <c r="H23" s="92"/>
      <c r="I23" s="3"/>
    </row>
    <row r="24" spans="1:11" s="3" customFormat="1" x14ac:dyDescent="0.3">
      <c r="B24" s="67" t="s">
        <v>353</v>
      </c>
      <c r="C24" s="55"/>
      <c r="D24" s="55"/>
      <c r="E24" s="55"/>
      <c r="F24" s="55"/>
      <c r="G24" s="55"/>
      <c r="H24" s="68">
        <f>H13</f>
        <v>0.28000000000000003</v>
      </c>
    </row>
    <row r="25" spans="1:11" s="3" customFormat="1" x14ac:dyDescent="0.3">
      <c r="B25" s="69" t="s">
        <v>200</v>
      </c>
      <c r="C25" s="59" t="s">
        <v>201</v>
      </c>
      <c r="D25" s="661" t="s">
        <v>202</v>
      </c>
      <c r="E25" s="660"/>
      <c r="F25" s="59" t="s">
        <v>203</v>
      </c>
      <c r="G25" s="59" t="s">
        <v>205</v>
      </c>
      <c r="H25" s="59" t="s">
        <v>206</v>
      </c>
    </row>
    <row r="26" spans="1:11" s="3" customFormat="1" x14ac:dyDescent="0.3">
      <c r="B26" s="75" t="s">
        <v>209</v>
      </c>
      <c r="C26" s="76">
        <v>2080</v>
      </c>
      <c r="D26" s="77"/>
      <c r="E26" s="77"/>
      <c r="F26" s="78">
        <v>34</v>
      </c>
      <c r="G26" s="74">
        <f t="shared" ref="G26:G33" si="2">IF(D26&gt;0, D26, C26*F26)</f>
        <v>70720</v>
      </c>
      <c r="H26" s="79">
        <f>G26*$H$13</f>
        <v>19801.600000000002</v>
      </c>
    </row>
    <row r="27" spans="1:11" s="3" customFormat="1" x14ac:dyDescent="0.3">
      <c r="B27" s="75" t="s">
        <v>210</v>
      </c>
      <c r="C27" s="76">
        <v>2080</v>
      </c>
      <c r="D27" s="77"/>
      <c r="E27" s="77"/>
      <c r="F27" s="78">
        <v>22.5</v>
      </c>
      <c r="G27" s="79">
        <f t="shared" si="2"/>
        <v>46800</v>
      </c>
      <c r="H27" s="79">
        <f>G27*$H$13</f>
        <v>13104.000000000002</v>
      </c>
    </row>
    <row r="28" spans="1:11" s="3" customFormat="1" x14ac:dyDescent="0.3">
      <c r="B28" s="75" t="s">
        <v>257</v>
      </c>
      <c r="C28" s="76">
        <v>2080</v>
      </c>
      <c r="D28" s="77"/>
      <c r="E28" s="77"/>
      <c r="F28" s="78">
        <v>20</v>
      </c>
      <c r="G28" s="79">
        <f t="shared" si="2"/>
        <v>41600</v>
      </c>
      <c r="H28" s="79">
        <f>G28*$H$13</f>
        <v>11648.000000000002</v>
      </c>
    </row>
    <row r="29" spans="1:11" s="3" customFormat="1" x14ac:dyDescent="0.3">
      <c r="B29" s="75" t="s">
        <v>228</v>
      </c>
      <c r="C29" s="76">
        <v>2080</v>
      </c>
      <c r="D29" s="77"/>
      <c r="E29" s="77"/>
      <c r="F29" s="78">
        <v>19</v>
      </c>
      <c r="G29" s="79">
        <f t="shared" si="2"/>
        <v>39520</v>
      </c>
      <c r="H29" s="79">
        <f>G29*$H$13</f>
        <v>11065.6</v>
      </c>
    </row>
    <row r="30" spans="1:11" s="3" customFormat="1" x14ac:dyDescent="0.3">
      <c r="B30" s="75"/>
      <c r="C30" s="76"/>
      <c r="D30" s="5"/>
      <c r="E30" s="5"/>
      <c r="F30" s="78"/>
      <c r="G30" s="79">
        <f t="shared" si="2"/>
        <v>0</v>
      </c>
      <c r="H30" s="79">
        <f t="shared" ref="H30:H33" si="3">G30*$H$13</f>
        <v>0</v>
      </c>
    </row>
    <row r="31" spans="1:11" s="3" customFormat="1" x14ac:dyDescent="0.3">
      <c r="B31" s="75"/>
      <c r="C31" s="76"/>
      <c r="D31" s="77"/>
      <c r="E31" s="77"/>
      <c r="F31" s="78"/>
      <c r="G31" s="79">
        <f t="shared" si="2"/>
        <v>0</v>
      </c>
      <c r="H31" s="79">
        <f t="shared" si="3"/>
        <v>0</v>
      </c>
    </row>
    <row r="32" spans="1:11" s="3" customFormat="1" x14ac:dyDescent="0.3">
      <c r="B32" s="75"/>
      <c r="C32" s="76"/>
      <c r="D32" s="77"/>
      <c r="E32" s="77"/>
      <c r="F32" s="78"/>
      <c r="G32" s="79">
        <f t="shared" si="2"/>
        <v>0</v>
      </c>
      <c r="H32" s="79">
        <f t="shared" si="3"/>
        <v>0</v>
      </c>
    </row>
    <row r="33" spans="2:11" s="3" customFormat="1" x14ac:dyDescent="0.3">
      <c r="B33" s="80"/>
      <c r="C33" s="81"/>
      <c r="D33" s="82"/>
      <c r="E33" s="82"/>
      <c r="F33" s="83"/>
      <c r="G33" s="84">
        <f t="shared" si="2"/>
        <v>0</v>
      </c>
      <c r="H33" s="79">
        <f t="shared" si="3"/>
        <v>0</v>
      </c>
    </row>
    <row r="34" spans="2:11" s="3" customFormat="1" x14ac:dyDescent="0.3">
      <c r="B34" s="54"/>
      <c r="C34" s="55"/>
      <c r="D34" s="723" t="s">
        <v>356</v>
      </c>
      <c r="E34" s="724"/>
      <c r="F34" s="725"/>
      <c r="G34" s="86">
        <f>SUM(G26:G33)</f>
        <v>198640</v>
      </c>
      <c r="H34" s="86">
        <f>SUM(H26:H33)</f>
        <v>55619.200000000004</v>
      </c>
      <c r="J34" s="87">
        <f>SUM(G34:H34)</f>
        <v>254259.20000000001</v>
      </c>
      <c r="K34" s="39" t="s">
        <v>18</v>
      </c>
    </row>
    <row r="35" spans="2:11" s="3" customFormat="1" x14ac:dyDescent="0.3">
      <c r="B35" s="54"/>
      <c r="C35" s="55"/>
      <c r="D35" s="55"/>
      <c r="E35" s="55"/>
      <c r="F35" s="55"/>
      <c r="G35" s="55"/>
      <c r="H35" s="55"/>
    </row>
    <row r="36" spans="2:11" s="3" customFormat="1" x14ac:dyDescent="0.3">
      <c r="B36" s="55"/>
      <c r="C36" s="55"/>
      <c r="D36" s="55"/>
      <c r="E36" s="55"/>
    </row>
    <row r="37" spans="2:11" s="3" customFormat="1" x14ac:dyDescent="0.3">
      <c r="B37" s="39" t="s">
        <v>357</v>
      </c>
      <c r="C37" s="55"/>
      <c r="D37" s="55"/>
      <c r="E37" s="55"/>
    </row>
    <row r="38" spans="2:11" s="3" customFormat="1" x14ac:dyDescent="0.3">
      <c r="B38" s="726" t="s">
        <v>211</v>
      </c>
      <c r="C38" s="727"/>
      <c r="D38" s="94">
        <v>185</v>
      </c>
      <c r="E38" s="55"/>
    </row>
    <row r="39" spans="2:11" s="3" customFormat="1" x14ac:dyDescent="0.3">
      <c r="B39" s="728" t="s">
        <v>358</v>
      </c>
      <c r="C39" s="729"/>
      <c r="D39" s="95">
        <v>0.8</v>
      </c>
      <c r="E39" s="55"/>
    </row>
    <row r="40" spans="2:11" s="3" customFormat="1" x14ac:dyDescent="0.3">
      <c r="B40" s="730" t="s">
        <v>360</v>
      </c>
      <c r="C40" s="731"/>
      <c r="D40" s="62">
        <f>(C6*D38*D39)*(1+H13)</f>
        <v>0</v>
      </c>
      <c r="E40" s="55"/>
      <c r="F40" s="659">
        <f>D40</f>
        <v>0</v>
      </c>
      <c r="G40" s="40" t="s">
        <v>18</v>
      </c>
    </row>
    <row r="41" spans="2:11" s="3" customFormat="1" x14ac:dyDescent="0.3">
      <c r="B41" s="55"/>
      <c r="C41" s="55"/>
      <c r="D41" s="55"/>
      <c r="E41" s="55"/>
    </row>
    <row r="42" spans="2:11" s="3" customFormat="1" x14ac:dyDescent="0.3">
      <c r="B42" s="641" t="s">
        <v>485</v>
      </c>
      <c r="C42" s="40" t="s">
        <v>204</v>
      </c>
      <c r="D42" s="499" t="s">
        <v>206</v>
      </c>
      <c r="E42" s="55"/>
    </row>
    <row r="43" spans="2:11" s="3" customFormat="1" x14ac:dyDescent="0.3">
      <c r="B43" s="70" t="str">
        <f>+B15</f>
        <v>Community Manager</v>
      </c>
      <c r="C43" s="642">
        <f>D15*0.15</f>
        <v>14250</v>
      </c>
      <c r="D43" s="643">
        <f>+C43*$H$24</f>
        <v>3990.0000000000005</v>
      </c>
      <c r="E43" s="55"/>
    </row>
    <row r="44" spans="2:11" s="3" customFormat="1" x14ac:dyDescent="0.3">
      <c r="B44" s="75" t="str">
        <f>+B16</f>
        <v>Assistant Manager</v>
      </c>
      <c r="C44" s="644">
        <v>4000</v>
      </c>
      <c r="D44" s="645">
        <f>+C44*$H$24</f>
        <v>1120</v>
      </c>
      <c r="E44" s="55"/>
    </row>
    <row r="45" spans="2:11" s="3" customFormat="1" x14ac:dyDescent="0.3">
      <c r="B45" s="640"/>
      <c r="C45" s="644"/>
      <c r="D45" s="645"/>
      <c r="E45" s="55"/>
    </row>
    <row r="46" spans="2:11" s="3" customFormat="1" x14ac:dyDescent="0.3">
      <c r="B46" s="225" t="str">
        <f>+B26</f>
        <v>Service Supervisor</v>
      </c>
      <c r="C46" s="644">
        <v>6000</v>
      </c>
      <c r="D46" s="645">
        <f>+C46*$H$24</f>
        <v>1680.0000000000002</v>
      </c>
      <c r="E46" s="55"/>
    </row>
    <row r="47" spans="2:11" s="3" customFormat="1" x14ac:dyDescent="0.3">
      <c r="B47" s="225" t="str">
        <f t="shared" ref="B47:B49" si="4">+B27</f>
        <v>Service Technician</v>
      </c>
      <c r="C47" s="644">
        <v>4000</v>
      </c>
      <c r="D47" s="645">
        <f>+C47*$H$24</f>
        <v>1120</v>
      </c>
      <c r="E47" s="55"/>
    </row>
    <row r="48" spans="2:11" s="3" customFormat="1" x14ac:dyDescent="0.3">
      <c r="B48" s="225" t="str">
        <f t="shared" si="4"/>
        <v>Make-Ready</v>
      </c>
      <c r="C48" s="644">
        <v>3000</v>
      </c>
      <c r="D48" s="645">
        <f>+C48*$H$24</f>
        <v>840.00000000000011</v>
      </c>
      <c r="E48" s="55"/>
    </row>
    <row r="49" spans="2:8" s="3" customFormat="1" x14ac:dyDescent="0.3">
      <c r="B49" s="225" t="str">
        <f t="shared" si="4"/>
        <v>Porter</v>
      </c>
      <c r="C49" s="644">
        <v>2000</v>
      </c>
      <c r="D49" s="645">
        <f>+C49*$H$24</f>
        <v>560</v>
      </c>
      <c r="E49" s="55"/>
    </row>
    <row r="50" spans="2:8" s="3" customFormat="1" x14ac:dyDescent="0.3">
      <c r="B50" s="196"/>
      <c r="C50" s="646"/>
      <c r="D50" s="647">
        <f>+C50*$H$24</f>
        <v>0</v>
      </c>
      <c r="E50" s="55"/>
    </row>
    <row r="51" spans="2:8" s="3" customFormat="1" x14ac:dyDescent="0.3">
      <c r="B51" s="641" t="s">
        <v>18</v>
      </c>
      <c r="C51" s="648">
        <f>SUM(C43:C50)</f>
        <v>33250</v>
      </c>
      <c r="D51" s="648">
        <f>SUM(D43:D50)</f>
        <v>9310</v>
      </c>
      <c r="E51" s="55"/>
      <c r="F51" s="658">
        <f>SUM(C51:D51)</f>
        <v>42560</v>
      </c>
      <c r="G51" s="40" t="s">
        <v>18</v>
      </c>
    </row>
    <row r="52" spans="2:8" s="3" customFormat="1" x14ac:dyDescent="0.3">
      <c r="B52" s="54"/>
      <c r="C52" s="55"/>
      <c r="D52" s="55"/>
      <c r="E52" s="55"/>
      <c r="F52" s="55"/>
      <c r="G52" s="55"/>
      <c r="H52" s="55"/>
    </row>
    <row r="53" spans="2:8" s="3" customFormat="1" x14ac:dyDescent="0.3">
      <c r="B53" s="54"/>
      <c r="C53" s="55"/>
      <c r="D53" s="55"/>
      <c r="E53" s="55"/>
      <c r="F53" s="55"/>
      <c r="G53" s="55"/>
      <c r="H53" s="55"/>
    </row>
    <row r="54" spans="2:8" s="3" customFormat="1" x14ac:dyDescent="0.3">
      <c r="B54" s="54"/>
      <c r="C54" s="55"/>
      <c r="D54" s="55"/>
      <c r="E54" s="55"/>
      <c r="F54" s="55"/>
      <c r="G54" s="55"/>
      <c r="H54" s="55"/>
    </row>
    <row r="55" spans="2:8" s="3" customFormat="1" x14ac:dyDescent="0.3">
      <c r="B55" s="54"/>
      <c r="C55" s="55"/>
      <c r="D55" s="55"/>
      <c r="E55" s="55"/>
      <c r="F55" s="55"/>
      <c r="G55" s="55"/>
      <c r="H55" s="55"/>
    </row>
    <row r="56" spans="2:8" s="3" customFormat="1" x14ac:dyDescent="0.3">
      <c r="B56" s="54"/>
      <c r="C56" s="55"/>
      <c r="D56" s="55"/>
      <c r="E56" s="55"/>
      <c r="F56" s="55"/>
      <c r="G56" s="55"/>
      <c r="H56" s="55"/>
    </row>
    <row r="57" spans="2:8" s="3" customFormat="1" x14ac:dyDescent="0.3">
      <c r="B57" s="54"/>
      <c r="C57" s="55"/>
      <c r="D57" s="55"/>
      <c r="E57" s="55"/>
      <c r="F57" s="55"/>
      <c r="G57" s="55"/>
      <c r="H57" s="55"/>
    </row>
    <row r="58" spans="2:8" s="3" customFormat="1" x14ac:dyDescent="0.3">
      <c r="B58" s="54"/>
      <c r="C58" s="55"/>
      <c r="D58" s="55"/>
      <c r="E58" s="55"/>
      <c r="F58" s="55"/>
      <c r="G58" s="55"/>
      <c r="H58" s="55"/>
    </row>
    <row r="59" spans="2:8" s="3" customFormat="1" x14ac:dyDescent="0.3">
      <c r="B59" s="54"/>
      <c r="C59" s="55"/>
      <c r="D59" s="55"/>
      <c r="E59" s="55"/>
      <c r="F59" s="55"/>
      <c r="G59" s="55"/>
      <c r="H59" s="55"/>
    </row>
    <row r="60" spans="2:8" s="3" customFormat="1" x14ac:dyDescent="0.3">
      <c r="B60" s="54"/>
      <c r="C60" s="55"/>
      <c r="D60" s="55"/>
      <c r="E60" s="55"/>
      <c r="F60" s="55"/>
      <c r="G60" s="55"/>
      <c r="H60" s="55"/>
    </row>
    <row r="61" spans="2:8" s="3" customFormat="1" x14ac:dyDescent="0.3">
      <c r="B61" s="54"/>
      <c r="C61" s="55"/>
      <c r="D61" s="55"/>
      <c r="E61" s="55"/>
      <c r="F61" s="55"/>
      <c r="G61" s="55"/>
      <c r="H61" s="55"/>
    </row>
    <row r="62" spans="2:8" s="3" customFormat="1" x14ac:dyDescent="0.3">
      <c r="B62" s="54"/>
      <c r="C62" s="55"/>
      <c r="D62" s="55"/>
      <c r="E62" s="55"/>
      <c r="F62" s="55"/>
      <c r="G62" s="55"/>
      <c r="H62" s="55"/>
    </row>
    <row r="63" spans="2:8" s="3" customFormat="1" x14ac:dyDescent="0.3">
      <c r="B63" s="54"/>
      <c r="C63" s="55"/>
      <c r="D63" s="55"/>
      <c r="E63" s="55"/>
      <c r="F63" s="55"/>
      <c r="G63" s="55"/>
      <c r="H63" s="55"/>
    </row>
    <row r="64" spans="2:8" s="3" customFormat="1" x14ac:dyDescent="0.3">
      <c r="B64" s="54"/>
      <c r="C64" s="55"/>
      <c r="D64" s="55"/>
      <c r="E64" s="55"/>
      <c r="F64" s="55"/>
      <c r="G64" s="55"/>
      <c r="H64" s="55"/>
    </row>
    <row r="65" spans="2:8" s="3" customFormat="1" x14ac:dyDescent="0.3">
      <c r="B65" s="54"/>
      <c r="C65" s="55"/>
      <c r="D65" s="55"/>
      <c r="E65" s="55"/>
      <c r="F65" s="55"/>
      <c r="G65" s="55"/>
      <c r="H65" s="55"/>
    </row>
    <row r="66" spans="2:8" s="3" customFormat="1" x14ac:dyDescent="0.3">
      <c r="B66" s="54"/>
      <c r="C66" s="55"/>
      <c r="D66" s="55"/>
      <c r="E66" s="55"/>
      <c r="F66" s="55"/>
      <c r="G66" s="55"/>
      <c r="H66" s="55"/>
    </row>
    <row r="67" spans="2:8" s="3" customFormat="1" x14ac:dyDescent="0.3">
      <c r="B67" s="54"/>
      <c r="C67" s="55"/>
      <c r="D67" s="55"/>
      <c r="E67" s="55"/>
      <c r="F67" s="55"/>
      <c r="G67" s="55"/>
      <c r="H67" s="55"/>
    </row>
    <row r="68" spans="2:8" s="3" customFormat="1" x14ac:dyDescent="0.3">
      <c r="B68" s="54"/>
      <c r="C68" s="55"/>
      <c r="D68" s="55"/>
      <c r="E68" s="55"/>
      <c r="F68" s="55"/>
      <c r="G68" s="55"/>
      <c r="H68" s="55"/>
    </row>
    <row r="69" spans="2:8" s="3" customFormat="1" x14ac:dyDescent="0.3">
      <c r="B69" s="54"/>
      <c r="C69" s="55"/>
      <c r="D69" s="55"/>
      <c r="E69" s="55"/>
      <c r="F69" s="55"/>
      <c r="G69" s="55"/>
      <c r="H69" s="55"/>
    </row>
    <row r="70" spans="2:8" s="3" customFormat="1" x14ac:dyDescent="0.3">
      <c r="B70" s="54"/>
      <c r="C70" s="55"/>
      <c r="D70" s="55"/>
      <c r="E70" s="55"/>
      <c r="F70" s="55"/>
      <c r="G70" s="55"/>
      <c r="H70" s="55"/>
    </row>
    <row r="71" spans="2:8" s="3" customFormat="1" x14ac:dyDescent="0.3">
      <c r="B71" s="54"/>
      <c r="C71" s="55"/>
      <c r="D71" s="55"/>
      <c r="E71" s="55"/>
      <c r="F71" s="55"/>
      <c r="G71" s="55"/>
      <c r="H71" s="55"/>
    </row>
    <row r="72" spans="2:8" s="3" customFormat="1" x14ac:dyDescent="0.3">
      <c r="B72" s="54"/>
      <c r="C72" s="55"/>
      <c r="D72" s="55"/>
      <c r="E72" s="55"/>
      <c r="F72" s="55"/>
      <c r="G72" s="55"/>
      <c r="H72" s="55"/>
    </row>
    <row r="73" spans="2:8" s="3" customFormat="1" x14ac:dyDescent="0.3">
      <c r="B73" s="54"/>
      <c r="C73" s="55"/>
      <c r="D73" s="55"/>
      <c r="E73" s="55"/>
      <c r="F73" s="55"/>
      <c r="G73" s="55"/>
      <c r="H73" s="55"/>
    </row>
    <row r="74" spans="2:8" s="3" customFormat="1" x14ac:dyDescent="0.3">
      <c r="B74" s="54"/>
      <c r="C74" s="55"/>
      <c r="D74" s="55"/>
      <c r="E74" s="55"/>
      <c r="F74" s="55"/>
      <c r="G74" s="55"/>
      <c r="H74" s="55"/>
    </row>
    <row r="75" spans="2:8" s="3" customFormat="1" x14ac:dyDescent="0.3">
      <c r="B75" s="54"/>
      <c r="C75" s="55"/>
      <c r="D75" s="55"/>
      <c r="E75" s="55"/>
      <c r="F75" s="55"/>
      <c r="G75" s="55"/>
      <c r="H75" s="55"/>
    </row>
    <row r="76" spans="2:8" s="3" customFormat="1" x14ac:dyDescent="0.3">
      <c r="B76" s="54"/>
      <c r="C76" s="55"/>
      <c r="D76" s="55"/>
      <c r="E76" s="55"/>
      <c r="F76" s="55"/>
      <c r="G76" s="55"/>
      <c r="H76" s="55"/>
    </row>
    <row r="77" spans="2:8" s="3" customFormat="1" x14ac:dyDescent="0.3">
      <c r="B77" s="54"/>
      <c r="C77" s="55"/>
      <c r="D77" s="55"/>
      <c r="E77" s="55"/>
      <c r="F77" s="55"/>
      <c r="G77" s="55"/>
      <c r="H77" s="55"/>
    </row>
    <row r="78" spans="2:8" s="3" customFormat="1" x14ac:dyDescent="0.3">
      <c r="B78" s="54"/>
      <c r="C78" s="55"/>
      <c r="D78" s="55"/>
      <c r="E78" s="55"/>
      <c r="F78" s="55"/>
      <c r="G78" s="55"/>
      <c r="H78" s="55"/>
    </row>
    <row r="79" spans="2:8" s="3" customFormat="1" x14ac:dyDescent="0.3">
      <c r="B79" s="54"/>
      <c r="C79" s="55"/>
      <c r="D79" s="55"/>
      <c r="E79" s="55"/>
      <c r="F79" s="55"/>
      <c r="G79" s="55"/>
      <c r="H79" s="55"/>
    </row>
    <row r="80" spans="2:8" s="3" customFormat="1" x14ac:dyDescent="0.3">
      <c r="B80" s="54"/>
      <c r="C80" s="55"/>
      <c r="D80" s="55"/>
      <c r="E80" s="55"/>
      <c r="F80" s="55"/>
      <c r="G80" s="55"/>
      <c r="H80" s="55"/>
    </row>
    <row r="81" spans="2:8" s="3" customFormat="1" x14ac:dyDescent="0.3">
      <c r="B81" s="54"/>
      <c r="C81" s="55"/>
      <c r="D81" s="55"/>
      <c r="E81" s="55"/>
      <c r="F81" s="55"/>
      <c r="G81" s="55"/>
      <c r="H81" s="55"/>
    </row>
    <row r="82" spans="2:8" s="3" customFormat="1" x14ac:dyDescent="0.3">
      <c r="B82" s="54"/>
      <c r="C82" s="55"/>
      <c r="D82" s="55"/>
      <c r="E82" s="55"/>
      <c r="F82" s="55"/>
      <c r="G82" s="55"/>
      <c r="H82" s="55"/>
    </row>
    <row r="83" spans="2:8" s="3" customFormat="1" x14ac:dyDescent="0.3">
      <c r="B83" s="54"/>
      <c r="C83" s="55"/>
      <c r="D83" s="55"/>
      <c r="E83" s="55"/>
      <c r="F83" s="55"/>
      <c r="G83" s="55"/>
      <c r="H83" s="55"/>
    </row>
    <row r="84" spans="2:8" s="3" customFormat="1" x14ac:dyDescent="0.3">
      <c r="B84" s="54"/>
      <c r="C84" s="55"/>
      <c r="D84" s="55"/>
      <c r="E84" s="55"/>
      <c r="F84" s="55"/>
      <c r="G84" s="55"/>
      <c r="H84" s="55"/>
    </row>
    <row r="85" spans="2:8" s="3" customFormat="1" x14ac:dyDescent="0.3">
      <c r="B85" s="54"/>
      <c r="C85" s="55"/>
      <c r="D85" s="55"/>
      <c r="E85" s="55"/>
      <c r="F85" s="55"/>
      <c r="G85" s="55"/>
      <c r="H85" s="55"/>
    </row>
    <row r="86" spans="2:8" s="3" customFormat="1" x14ac:dyDescent="0.3">
      <c r="B86" s="54"/>
      <c r="C86" s="55"/>
      <c r="D86" s="55"/>
      <c r="E86" s="55"/>
      <c r="F86" s="55"/>
      <c r="G86" s="55"/>
      <c r="H86" s="55"/>
    </row>
    <row r="87" spans="2:8" s="3" customFormat="1" x14ac:dyDescent="0.3">
      <c r="B87" s="54"/>
      <c r="C87" s="55"/>
      <c r="D87" s="55"/>
      <c r="E87" s="55"/>
      <c r="F87" s="55"/>
      <c r="G87" s="55"/>
      <c r="H87" s="55"/>
    </row>
    <row r="88" spans="2:8" s="3" customFormat="1" x14ac:dyDescent="0.3">
      <c r="B88" s="54"/>
      <c r="C88" s="55"/>
      <c r="D88" s="55"/>
      <c r="E88" s="55"/>
      <c r="F88" s="55"/>
      <c r="G88" s="55"/>
      <c r="H88" s="55"/>
    </row>
    <row r="89" spans="2:8" s="3" customFormat="1" x14ac:dyDescent="0.3">
      <c r="B89" s="54"/>
      <c r="C89" s="55"/>
      <c r="D89" s="55"/>
      <c r="E89" s="55"/>
      <c r="F89" s="55"/>
      <c r="G89" s="55"/>
      <c r="H89" s="55"/>
    </row>
    <row r="90" spans="2:8" s="3" customFormat="1" x14ac:dyDescent="0.3">
      <c r="B90" s="54"/>
      <c r="C90" s="55"/>
      <c r="D90" s="55"/>
      <c r="E90" s="55"/>
      <c r="F90" s="55"/>
      <c r="G90" s="55"/>
      <c r="H90" s="55"/>
    </row>
    <row r="91" spans="2:8" s="3" customFormat="1" x14ac:dyDescent="0.3">
      <c r="B91" s="54"/>
      <c r="C91" s="55"/>
      <c r="D91" s="55"/>
      <c r="E91" s="55"/>
      <c r="F91" s="55"/>
      <c r="G91" s="55"/>
      <c r="H91" s="55"/>
    </row>
    <row r="92" spans="2:8" s="3" customFormat="1" x14ac:dyDescent="0.3">
      <c r="B92" s="54"/>
      <c r="C92" s="55"/>
      <c r="D92" s="55"/>
      <c r="E92" s="55"/>
      <c r="F92" s="55"/>
      <c r="G92" s="55"/>
      <c r="H92" s="55"/>
    </row>
    <row r="93" spans="2:8" s="3" customFormat="1" x14ac:dyDescent="0.3">
      <c r="B93" s="54"/>
      <c r="C93" s="55"/>
      <c r="D93" s="55"/>
      <c r="E93" s="55"/>
      <c r="F93" s="55"/>
      <c r="G93" s="55"/>
      <c r="H93" s="55"/>
    </row>
    <row r="94" spans="2:8" s="3" customFormat="1" x14ac:dyDescent="0.3">
      <c r="B94" s="54"/>
      <c r="C94" s="55"/>
      <c r="D94" s="55"/>
      <c r="E94" s="55"/>
      <c r="F94" s="55"/>
      <c r="G94" s="55"/>
      <c r="H94" s="55"/>
    </row>
    <row r="95" spans="2:8" s="3" customFormat="1" x14ac:dyDescent="0.3">
      <c r="B95" s="54"/>
      <c r="C95" s="55"/>
      <c r="D95" s="55"/>
      <c r="E95" s="55"/>
      <c r="F95" s="55"/>
      <c r="G95" s="55"/>
      <c r="H95" s="55"/>
    </row>
    <row r="96" spans="2:8" s="3" customFormat="1" x14ac:dyDescent="0.3">
      <c r="B96" s="54"/>
      <c r="C96" s="55"/>
      <c r="D96" s="55"/>
      <c r="E96" s="55"/>
      <c r="F96" s="55"/>
      <c r="G96" s="55"/>
      <c r="H96" s="55"/>
    </row>
    <row r="97" spans="2:8" s="3" customFormat="1" x14ac:dyDescent="0.3">
      <c r="B97" s="54"/>
      <c r="C97" s="55"/>
      <c r="D97" s="55"/>
      <c r="E97" s="55"/>
      <c r="F97" s="55"/>
      <c r="G97" s="55"/>
      <c r="H97" s="55"/>
    </row>
    <row r="98" spans="2:8" s="3" customFormat="1" x14ac:dyDescent="0.3">
      <c r="B98" s="54"/>
      <c r="C98" s="55"/>
      <c r="D98" s="55"/>
      <c r="E98" s="55"/>
      <c r="F98" s="55"/>
      <c r="G98" s="55"/>
      <c r="H98" s="55"/>
    </row>
    <row r="99" spans="2:8" s="3" customFormat="1" x14ac:dyDescent="0.3">
      <c r="B99" s="54"/>
      <c r="C99" s="55"/>
      <c r="D99" s="55"/>
      <c r="E99" s="55"/>
      <c r="F99" s="55"/>
      <c r="G99" s="55"/>
      <c r="H99" s="55"/>
    </row>
    <row r="100" spans="2:8" s="3" customFormat="1" x14ac:dyDescent="0.3">
      <c r="B100" s="54"/>
      <c r="C100" s="55"/>
      <c r="D100" s="55"/>
      <c r="E100" s="55"/>
      <c r="F100" s="55"/>
      <c r="G100" s="55"/>
      <c r="H100" s="55"/>
    </row>
    <row r="101" spans="2:8" s="3" customFormat="1" x14ac:dyDescent="0.3">
      <c r="B101" s="54"/>
      <c r="C101" s="55"/>
      <c r="D101" s="55"/>
      <c r="E101" s="55"/>
      <c r="F101" s="55"/>
      <c r="G101" s="55"/>
      <c r="H101" s="55"/>
    </row>
    <row r="102" spans="2:8" s="3" customFormat="1" x14ac:dyDescent="0.3">
      <c r="B102" s="54"/>
      <c r="C102" s="55"/>
      <c r="D102" s="55"/>
      <c r="E102" s="55"/>
      <c r="F102" s="55"/>
      <c r="G102" s="55"/>
      <c r="H102" s="55"/>
    </row>
    <row r="103" spans="2:8" s="3" customFormat="1" x14ac:dyDescent="0.3">
      <c r="B103" s="54"/>
      <c r="C103" s="55"/>
      <c r="D103" s="55"/>
      <c r="E103" s="55"/>
      <c r="F103" s="55"/>
      <c r="G103" s="55"/>
      <c r="H103" s="55"/>
    </row>
    <row r="104" spans="2:8" s="3" customFormat="1" x14ac:dyDescent="0.3">
      <c r="B104" s="54"/>
      <c r="C104" s="55"/>
      <c r="D104" s="55"/>
      <c r="E104" s="55"/>
      <c r="F104" s="55"/>
      <c r="G104" s="55"/>
      <c r="H104" s="55"/>
    </row>
    <row r="105" spans="2:8" s="3" customFormat="1" x14ac:dyDescent="0.3">
      <c r="B105" s="54"/>
      <c r="C105" s="55"/>
      <c r="D105" s="55"/>
      <c r="E105" s="55"/>
      <c r="F105" s="55"/>
      <c r="G105" s="55"/>
      <c r="H105" s="55"/>
    </row>
    <row r="106" spans="2:8" s="3" customFormat="1" x14ac:dyDescent="0.3">
      <c r="B106" s="54"/>
      <c r="C106" s="55"/>
      <c r="D106" s="55"/>
      <c r="E106" s="55"/>
      <c r="F106" s="55"/>
      <c r="G106" s="55"/>
      <c r="H106" s="55"/>
    </row>
    <row r="107" spans="2:8" s="3" customFormat="1" x14ac:dyDescent="0.3">
      <c r="B107" s="54"/>
      <c r="C107" s="55"/>
      <c r="D107" s="55"/>
      <c r="E107" s="55"/>
      <c r="F107" s="55"/>
      <c r="G107" s="55"/>
      <c r="H107" s="55"/>
    </row>
    <row r="108" spans="2:8" s="3" customFormat="1" x14ac:dyDescent="0.3">
      <c r="B108" s="54"/>
      <c r="C108" s="55"/>
      <c r="D108" s="55"/>
      <c r="E108" s="55"/>
      <c r="F108" s="55"/>
      <c r="G108" s="55"/>
      <c r="H108" s="55"/>
    </row>
    <row r="109" spans="2:8" s="3" customFormat="1" x14ac:dyDescent="0.3">
      <c r="B109" s="54"/>
      <c r="C109" s="55"/>
      <c r="D109" s="55"/>
      <c r="E109" s="55"/>
      <c r="F109" s="55"/>
      <c r="G109" s="55"/>
      <c r="H109" s="55"/>
    </row>
    <row r="110" spans="2:8" s="3" customFormat="1" x14ac:dyDescent="0.3">
      <c r="B110" s="54"/>
      <c r="C110" s="55"/>
      <c r="D110" s="55"/>
      <c r="E110" s="55"/>
      <c r="F110" s="55"/>
      <c r="G110" s="55"/>
      <c r="H110" s="55"/>
    </row>
    <row r="111" spans="2:8" s="3" customFormat="1" x14ac:dyDescent="0.3">
      <c r="B111" s="54"/>
      <c r="C111" s="55"/>
      <c r="D111" s="55"/>
      <c r="E111" s="55"/>
      <c r="F111" s="55"/>
      <c r="G111" s="55"/>
      <c r="H111" s="55"/>
    </row>
    <row r="112" spans="2:8" s="3" customFormat="1" x14ac:dyDescent="0.3">
      <c r="B112" s="54"/>
      <c r="C112" s="55"/>
      <c r="D112" s="55"/>
      <c r="E112" s="55"/>
      <c r="F112" s="55"/>
      <c r="G112" s="55"/>
      <c r="H112" s="55"/>
    </row>
    <row r="113" spans="2:8" s="3" customFormat="1" x14ac:dyDescent="0.3">
      <c r="B113" s="54"/>
      <c r="C113" s="55"/>
      <c r="D113" s="55"/>
      <c r="E113" s="55"/>
      <c r="F113" s="55"/>
      <c r="G113" s="55"/>
      <c r="H113" s="55"/>
    </row>
    <row r="114" spans="2:8" s="3" customFormat="1" x14ac:dyDescent="0.3">
      <c r="B114" s="54"/>
      <c r="C114" s="55"/>
      <c r="D114" s="55"/>
      <c r="E114" s="55"/>
      <c r="F114" s="55"/>
      <c r="G114" s="55"/>
      <c r="H114" s="55"/>
    </row>
    <row r="115" spans="2:8" s="3" customFormat="1" x14ac:dyDescent="0.3">
      <c r="B115" s="54"/>
      <c r="C115" s="55"/>
      <c r="D115" s="55"/>
      <c r="E115" s="55"/>
      <c r="F115" s="55"/>
      <c r="G115" s="55"/>
      <c r="H115" s="55"/>
    </row>
    <row r="116" spans="2:8" s="3" customFormat="1" x14ac:dyDescent="0.3">
      <c r="B116" s="54"/>
      <c r="C116" s="55"/>
      <c r="D116" s="55"/>
      <c r="E116" s="55"/>
      <c r="F116" s="55"/>
      <c r="G116" s="55"/>
      <c r="H116" s="55"/>
    </row>
    <row r="117" spans="2:8" s="3" customFormat="1" x14ac:dyDescent="0.3">
      <c r="B117" s="54"/>
      <c r="C117" s="55"/>
      <c r="D117" s="55"/>
      <c r="E117" s="55"/>
      <c r="F117" s="55"/>
      <c r="G117" s="55"/>
      <c r="H117" s="55"/>
    </row>
    <row r="118" spans="2:8" s="3" customFormat="1" x14ac:dyDescent="0.3">
      <c r="B118" s="54"/>
      <c r="C118" s="55"/>
      <c r="D118" s="55"/>
      <c r="E118" s="55"/>
      <c r="F118" s="55"/>
      <c r="G118" s="55"/>
      <c r="H118" s="55"/>
    </row>
    <row r="119" spans="2:8" s="3" customFormat="1" x14ac:dyDescent="0.3">
      <c r="B119" s="54"/>
      <c r="C119" s="55"/>
      <c r="D119" s="55"/>
      <c r="E119" s="55"/>
      <c r="F119" s="55"/>
      <c r="G119" s="55"/>
      <c r="H119" s="55"/>
    </row>
    <row r="120" spans="2:8" s="3" customFormat="1" x14ac:dyDescent="0.3">
      <c r="B120" s="54"/>
      <c r="C120" s="55"/>
      <c r="D120" s="55"/>
      <c r="E120" s="55"/>
      <c r="F120" s="55"/>
      <c r="G120" s="55"/>
      <c r="H120" s="55"/>
    </row>
    <row r="121" spans="2:8" s="3" customFormat="1" x14ac:dyDescent="0.3">
      <c r="B121" s="54"/>
      <c r="C121" s="55"/>
      <c r="D121" s="55"/>
      <c r="E121" s="55"/>
      <c r="F121" s="55"/>
      <c r="G121" s="55"/>
      <c r="H121" s="55"/>
    </row>
    <row r="122" spans="2:8" s="3" customFormat="1" x14ac:dyDescent="0.3">
      <c r="B122" s="54"/>
      <c r="C122" s="55"/>
      <c r="D122" s="55"/>
      <c r="E122" s="55"/>
      <c r="F122" s="55"/>
      <c r="G122" s="55"/>
      <c r="H122" s="55"/>
    </row>
    <row r="123" spans="2:8" s="3" customFormat="1" x14ac:dyDescent="0.3">
      <c r="B123" s="54"/>
      <c r="C123" s="55"/>
      <c r="D123" s="55"/>
      <c r="E123" s="55"/>
      <c r="F123" s="55"/>
      <c r="G123" s="55"/>
      <c r="H123" s="55"/>
    </row>
    <row r="124" spans="2:8" s="3" customFormat="1" x14ac:dyDescent="0.3">
      <c r="B124" s="54"/>
      <c r="C124" s="55"/>
      <c r="D124" s="55"/>
      <c r="E124" s="55"/>
      <c r="F124" s="55"/>
      <c r="G124" s="55"/>
      <c r="H124" s="55"/>
    </row>
    <row r="125" spans="2:8" s="3" customFormat="1" x14ac:dyDescent="0.3">
      <c r="B125" s="54"/>
      <c r="C125" s="55"/>
      <c r="D125" s="55"/>
      <c r="E125" s="55"/>
      <c r="F125" s="55"/>
      <c r="G125" s="55"/>
      <c r="H125" s="55"/>
    </row>
    <row r="126" spans="2:8" s="3" customFormat="1" x14ac:dyDescent="0.3">
      <c r="B126" s="54"/>
      <c r="C126" s="55"/>
      <c r="D126" s="55"/>
      <c r="E126" s="55"/>
      <c r="F126" s="55"/>
      <c r="G126" s="55"/>
      <c r="H126" s="55"/>
    </row>
    <row r="127" spans="2:8" s="3" customFormat="1" x14ac:dyDescent="0.3">
      <c r="B127" s="54"/>
      <c r="C127" s="55"/>
      <c r="D127" s="55"/>
      <c r="E127" s="55"/>
      <c r="F127" s="55"/>
      <c r="G127" s="55"/>
      <c r="H127" s="55"/>
    </row>
  </sheetData>
  <mergeCells count="5">
    <mergeCell ref="D21:F21"/>
    <mergeCell ref="D34:F34"/>
    <mergeCell ref="B38:C38"/>
    <mergeCell ref="B39:C39"/>
    <mergeCell ref="B40:C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71BC7-4EC5-4CFB-86DB-1A5B09EA8B0B}">
  <sheetPr>
    <tabColor theme="3" tint="0.249977111117893"/>
  </sheetPr>
  <dimension ref="A1:AH127"/>
  <sheetViews>
    <sheetView workbookViewId="0">
      <selection activeCell="D40" sqref="D40"/>
    </sheetView>
  </sheetViews>
  <sheetFormatPr defaultRowHeight="13.8" x14ac:dyDescent="0.3"/>
  <cols>
    <col min="1" max="1" width="2.33203125" style="2" customWidth="1"/>
    <col min="2" max="2" width="27.33203125" style="96" bestFit="1" customWidth="1"/>
    <col min="3" max="3" width="28.88671875" style="9" customWidth="1"/>
    <col min="4" max="4" width="16.109375" style="9" customWidth="1"/>
    <col min="5" max="5" width="0.6640625" style="9" customWidth="1"/>
    <col min="6" max="6" width="14.109375" style="9" customWidth="1"/>
    <col min="7" max="7" width="20.44140625" style="9" customWidth="1"/>
    <col min="8" max="8" width="24.88671875" style="9" customWidth="1"/>
    <col min="9" max="9" width="0.6640625" style="2" customWidth="1"/>
    <col min="10" max="10" width="11" style="3" bestFit="1" customWidth="1"/>
    <col min="11" max="11" width="12.33203125" style="3" customWidth="1"/>
    <col min="12" max="34" width="8.88671875" style="3"/>
    <col min="35" max="16384" width="8.88671875" style="2"/>
  </cols>
  <sheetData>
    <row r="1" spans="1:12" x14ac:dyDescent="0.3">
      <c r="A1" s="3"/>
      <c r="B1" s="54"/>
      <c r="C1" s="55"/>
      <c r="D1" s="55"/>
      <c r="E1" s="55"/>
      <c r="F1" s="55"/>
      <c r="G1" s="55"/>
      <c r="H1" s="55"/>
      <c r="I1" s="3"/>
    </row>
    <row r="2" spans="1:12" x14ac:dyDescent="0.3">
      <c r="A2" s="3"/>
      <c r="B2" s="54"/>
      <c r="C2" s="55"/>
      <c r="D2" s="55"/>
      <c r="E2" s="55"/>
      <c r="F2" s="55"/>
      <c r="G2" s="55"/>
      <c r="H2" s="55"/>
      <c r="I2" s="3"/>
    </row>
    <row r="3" spans="1:12" x14ac:dyDescent="0.3">
      <c r="A3" s="3"/>
      <c r="B3" s="56"/>
      <c r="C3" s="57"/>
      <c r="D3" s="57"/>
      <c r="E3" s="57"/>
      <c r="F3" s="57"/>
      <c r="G3" s="57"/>
      <c r="H3" s="57"/>
      <c r="I3" s="57"/>
      <c r="J3" s="57"/>
      <c r="K3" s="57"/>
      <c r="L3" s="57"/>
    </row>
    <row r="4" spans="1:12" x14ac:dyDescent="0.3">
      <c r="A4" s="3"/>
      <c r="B4" s="57"/>
      <c r="C4" s="57"/>
      <c r="D4" s="57"/>
      <c r="E4" s="57"/>
      <c r="F4" s="57"/>
      <c r="G4" s="57"/>
      <c r="H4" s="57"/>
      <c r="I4" s="57"/>
      <c r="J4" s="57"/>
      <c r="K4" s="57"/>
      <c r="L4" s="57"/>
    </row>
    <row r="5" spans="1:12" x14ac:dyDescent="0.3">
      <c r="A5" s="3"/>
      <c r="B5" s="58" t="s">
        <v>199</v>
      </c>
      <c r="C5" s="59">
        <f>IF('Proforma (Annual)'!C2="",'Lease-Up Proforma'!C2,'Proforma (Annual)'!C2)</f>
        <v>0</v>
      </c>
      <c r="D5" s="57"/>
      <c r="E5" s="57"/>
      <c r="F5" s="57"/>
      <c r="G5" s="57"/>
      <c r="H5" s="57"/>
      <c r="I5" s="57"/>
      <c r="J5" s="57"/>
      <c r="K5" s="57"/>
      <c r="L5" s="57"/>
    </row>
    <row r="6" spans="1:12" x14ac:dyDescent="0.3">
      <c r="A6" s="3"/>
      <c r="B6" s="60" t="s">
        <v>74</v>
      </c>
      <c r="C6" s="481">
        <f>'Rent Schedule'!E31</f>
        <v>0</v>
      </c>
      <c r="D6" s="61"/>
      <c r="E6" s="61"/>
      <c r="F6" s="61"/>
      <c r="G6" s="61"/>
      <c r="H6" s="61"/>
      <c r="I6" s="61"/>
      <c r="J6" s="61"/>
      <c r="K6" s="61"/>
      <c r="L6" s="61"/>
    </row>
    <row r="7" spans="1:12" x14ac:dyDescent="0.3">
      <c r="A7" s="3"/>
      <c r="B7" s="54"/>
      <c r="C7" s="55"/>
      <c r="D7" s="55"/>
      <c r="E7" s="55"/>
      <c r="F7" s="55"/>
      <c r="G7" s="55"/>
      <c r="H7" s="55"/>
      <c r="I7" s="3"/>
    </row>
    <row r="8" spans="1:12" x14ac:dyDescent="0.3">
      <c r="A8" s="3"/>
      <c r="B8" s="54"/>
      <c r="C8" s="55"/>
      <c r="D8" s="55"/>
      <c r="E8" s="55"/>
      <c r="F8" s="55"/>
      <c r="G8" s="55"/>
      <c r="H8" s="55"/>
      <c r="I8" s="3"/>
    </row>
    <row r="9" spans="1:12" s="3" customFormat="1" x14ac:dyDescent="0.3">
      <c r="B9" s="62" t="s">
        <v>212</v>
      </c>
      <c r="C9" s="62">
        <f>SUM(J21,J34,F40,F51)</f>
        <v>572412.5</v>
      </c>
      <c r="D9" s="63"/>
      <c r="E9" s="63"/>
      <c r="F9" s="63"/>
      <c r="G9" s="55"/>
      <c r="H9" s="55"/>
    </row>
    <row r="10" spans="1:12" s="3" customFormat="1" x14ac:dyDescent="0.3">
      <c r="B10" s="64" t="s">
        <v>213</v>
      </c>
      <c r="C10" s="65" t="e">
        <f>C9/C6</f>
        <v>#DIV/0!</v>
      </c>
      <c r="D10" s="63"/>
      <c r="E10" s="63"/>
      <c r="F10" s="63"/>
      <c r="G10" s="55"/>
      <c r="H10" s="55"/>
    </row>
    <row r="11" spans="1:12" s="3" customFormat="1" x14ac:dyDescent="0.3">
      <c r="B11" s="66"/>
      <c r="C11" s="55"/>
      <c r="D11" s="63"/>
      <c r="E11" s="63"/>
      <c r="F11" s="63"/>
      <c r="G11" s="55"/>
      <c r="H11" s="55"/>
    </row>
    <row r="12" spans="1:12" s="3" customFormat="1" x14ac:dyDescent="0.3">
      <c r="B12" s="66"/>
      <c r="C12" s="55"/>
      <c r="D12" s="55"/>
      <c r="E12" s="55"/>
      <c r="F12" s="55"/>
      <c r="G12" s="55"/>
      <c r="H12" s="55"/>
    </row>
    <row r="13" spans="1:12" x14ac:dyDescent="0.3">
      <c r="A13" s="3"/>
      <c r="B13" s="67" t="s">
        <v>354</v>
      </c>
      <c r="C13" s="55"/>
      <c r="D13" s="55"/>
      <c r="E13" s="55"/>
      <c r="F13" s="55"/>
      <c r="G13" s="55"/>
      <c r="H13" s="68">
        <v>0.25</v>
      </c>
      <c r="I13" s="3"/>
    </row>
    <row r="14" spans="1:12" x14ac:dyDescent="0.3">
      <c r="A14" s="3"/>
      <c r="B14" s="69" t="s">
        <v>200</v>
      </c>
      <c r="C14" s="59" t="s">
        <v>201</v>
      </c>
      <c r="D14" s="661" t="s">
        <v>202</v>
      </c>
      <c r="E14" s="660"/>
      <c r="F14" s="59" t="s">
        <v>203</v>
      </c>
      <c r="G14" s="59" t="s">
        <v>205</v>
      </c>
      <c r="H14" s="59" t="s">
        <v>206</v>
      </c>
      <c r="I14" s="3"/>
    </row>
    <row r="15" spans="1:12" x14ac:dyDescent="0.3">
      <c r="A15" s="3"/>
      <c r="B15" s="70" t="s">
        <v>207</v>
      </c>
      <c r="C15" s="71">
        <v>2080</v>
      </c>
      <c r="D15" s="72">
        <v>95000</v>
      </c>
      <c r="E15" s="72"/>
      <c r="F15" s="73"/>
      <c r="G15" s="74">
        <f t="shared" ref="G15:G20" si="0">IF(D15&gt;0, D15, C15*F15)</f>
        <v>95000</v>
      </c>
      <c r="H15" s="74">
        <f>G15*$H$13</f>
        <v>23750</v>
      </c>
      <c r="I15" s="3"/>
    </row>
    <row r="16" spans="1:12" x14ac:dyDescent="0.3">
      <c r="A16" s="3"/>
      <c r="B16" s="75" t="s">
        <v>208</v>
      </c>
      <c r="C16" s="76">
        <v>2080</v>
      </c>
      <c r="D16" s="77"/>
      <c r="E16" s="77"/>
      <c r="F16" s="78">
        <v>24</v>
      </c>
      <c r="G16" s="79">
        <f t="shared" si="0"/>
        <v>49920</v>
      </c>
      <c r="H16" s="79">
        <f t="shared" ref="H16:H20" si="1">G16*$H$13</f>
        <v>12480</v>
      </c>
      <c r="I16" s="3"/>
    </row>
    <row r="17" spans="1:11" x14ac:dyDescent="0.3">
      <c r="A17" s="3"/>
      <c r="B17" s="75" t="s">
        <v>219</v>
      </c>
      <c r="C17" s="76">
        <v>2080</v>
      </c>
      <c r="D17" s="77"/>
      <c r="E17" s="77"/>
      <c r="F17" s="78">
        <v>20</v>
      </c>
      <c r="G17" s="79">
        <f t="shared" si="0"/>
        <v>41600</v>
      </c>
      <c r="H17" s="79">
        <f t="shared" si="1"/>
        <v>10400</v>
      </c>
      <c r="I17" s="3"/>
    </row>
    <row r="18" spans="1:11" x14ac:dyDescent="0.3">
      <c r="A18" s="3"/>
      <c r="B18" s="75" t="s">
        <v>219</v>
      </c>
      <c r="C18" s="76">
        <v>2080</v>
      </c>
      <c r="D18" s="77"/>
      <c r="E18" s="77"/>
      <c r="F18" s="78">
        <v>19</v>
      </c>
      <c r="G18" s="79">
        <f>IF(D18&gt;0, D18, C18*F18)</f>
        <v>39520</v>
      </c>
      <c r="H18" s="79">
        <f t="shared" si="1"/>
        <v>9880</v>
      </c>
      <c r="I18" s="3"/>
    </row>
    <row r="19" spans="1:11" x14ac:dyDescent="0.3">
      <c r="A19" s="3"/>
      <c r="B19" s="75"/>
      <c r="C19" s="76"/>
      <c r="D19" s="77"/>
      <c r="E19" s="77"/>
      <c r="F19" s="78"/>
      <c r="G19" s="79">
        <f t="shared" si="0"/>
        <v>0</v>
      </c>
      <c r="H19" s="79">
        <f t="shared" si="1"/>
        <v>0</v>
      </c>
      <c r="I19" s="3"/>
    </row>
    <row r="20" spans="1:11" x14ac:dyDescent="0.3">
      <c r="A20" s="3"/>
      <c r="B20" s="80"/>
      <c r="C20" s="81"/>
      <c r="D20" s="82"/>
      <c r="E20" s="82"/>
      <c r="F20" s="83"/>
      <c r="G20" s="84">
        <f t="shared" si="0"/>
        <v>0</v>
      </c>
      <c r="H20" s="84">
        <f t="shared" si="1"/>
        <v>0</v>
      </c>
      <c r="I20" s="3"/>
    </row>
    <row r="21" spans="1:11" x14ac:dyDescent="0.3">
      <c r="A21" s="3"/>
      <c r="B21" s="85"/>
      <c r="C21" s="76"/>
      <c r="D21" s="723" t="s">
        <v>355</v>
      </c>
      <c r="E21" s="724"/>
      <c r="F21" s="725"/>
      <c r="G21" s="86">
        <f>SUM(G15:G20)</f>
        <v>226040</v>
      </c>
      <c r="H21" s="86">
        <f>SUM(H15:H20)</f>
        <v>56510</v>
      </c>
      <c r="I21" s="3"/>
      <c r="J21" s="87">
        <f>SUM(G21:H21)</f>
        <v>282550</v>
      </c>
      <c r="K21" s="39" t="s">
        <v>18</v>
      </c>
    </row>
    <row r="22" spans="1:11" s="3" customFormat="1" x14ac:dyDescent="0.3">
      <c r="B22" s="88"/>
      <c r="C22" s="89"/>
      <c r="D22" s="90"/>
      <c r="E22" s="90"/>
      <c r="F22" s="91"/>
      <c r="G22" s="92"/>
      <c r="H22" s="92"/>
    </row>
    <row r="23" spans="1:11" x14ac:dyDescent="0.3">
      <c r="A23" s="3"/>
      <c r="B23" s="54"/>
      <c r="C23" s="55"/>
      <c r="D23" s="55"/>
      <c r="E23" s="55"/>
      <c r="F23" s="93"/>
      <c r="G23" s="92"/>
      <c r="H23" s="92"/>
      <c r="I23" s="3"/>
    </row>
    <row r="24" spans="1:11" s="3" customFormat="1" x14ac:dyDescent="0.3">
      <c r="B24" s="67" t="s">
        <v>353</v>
      </c>
      <c r="C24" s="55"/>
      <c r="D24" s="55"/>
      <c r="E24" s="55"/>
      <c r="F24" s="55"/>
      <c r="G24" s="55"/>
      <c r="H24" s="68">
        <f>H13</f>
        <v>0.25</v>
      </c>
    </row>
    <row r="25" spans="1:11" s="3" customFormat="1" x14ac:dyDescent="0.3">
      <c r="B25" s="69" t="s">
        <v>200</v>
      </c>
      <c r="C25" s="59" t="s">
        <v>201</v>
      </c>
      <c r="D25" s="661" t="s">
        <v>202</v>
      </c>
      <c r="E25" s="660"/>
      <c r="F25" s="59" t="s">
        <v>203</v>
      </c>
      <c r="G25" s="59" t="s">
        <v>205</v>
      </c>
      <c r="H25" s="59" t="s">
        <v>206</v>
      </c>
    </row>
    <row r="26" spans="1:11" s="3" customFormat="1" x14ac:dyDescent="0.3">
      <c r="B26" s="75" t="s">
        <v>209</v>
      </c>
      <c r="C26" s="76">
        <v>2080</v>
      </c>
      <c r="D26" s="77"/>
      <c r="E26" s="77"/>
      <c r="F26" s="78">
        <v>34</v>
      </c>
      <c r="G26" s="74">
        <f t="shared" ref="G26:G33" si="2">IF(D26&gt;0, D26, C26*F26)</f>
        <v>70720</v>
      </c>
      <c r="H26" s="79">
        <f>G26*$H$13</f>
        <v>17680</v>
      </c>
    </row>
    <row r="27" spans="1:11" s="3" customFormat="1" x14ac:dyDescent="0.3">
      <c r="B27" s="75" t="s">
        <v>210</v>
      </c>
      <c r="C27" s="76">
        <v>2080</v>
      </c>
      <c r="D27" s="77"/>
      <c r="E27" s="77"/>
      <c r="F27" s="78">
        <v>22.5</v>
      </c>
      <c r="G27" s="79">
        <f t="shared" si="2"/>
        <v>46800</v>
      </c>
      <c r="H27" s="79">
        <f>G27*$H$13</f>
        <v>11700</v>
      </c>
    </row>
    <row r="28" spans="1:11" s="3" customFormat="1" x14ac:dyDescent="0.3">
      <c r="B28" s="75" t="s">
        <v>257</v>
      </c>
      <c r="C28" s="76">
        <v>2080</v>
      </c>
      <c r="D28" s="77"/>
      <c r="E28" s="77"/>
      <c r="F28" s="78">
        <v>20</v>
      </c>
      <c r="G28" s="79">
        <f t="shared" si="2"/>
        <v>41600</v>
      </c>
      <c r="H28" s="79">
        <f>G28*$H$13</f>
        <v>10400</v>
      </c>
    </row>
    <row r="29" spans="1:11" s="3" customFormat="1" x14ac:dyDescent="0.3">
      <c r="B29" s="75" t="s">
        <v>228</v>
      </c>
      <c r="C29" s="76">
        <v>2080</v>
      </c>
      <c r="D29" s="77"/>
      <c r="E29" s="77"/>
      <c r="F29" s="78">
        <v>19</v>
      </c>
      <c r="G29" s="79">
        <f t="shared" si="2"/>
        <v>39520</v>
      </c>
      <c r="H29" s="79">
        <f>G29*$H$13</f>
        <v>9880</v>
      </c>
    </row>
    <row r="30" spans="1:11" s="3" customFormat="1" x14ac:dyDescent="0.3">
      <c r="B30" s="75"/>
      <c r="C30" s="76"/>
      <c r="D30" s="5"/>
      <c r="E30" s="5"/>
      <c r="F30" s="78"/>
      <c r="G30" s="79">
        <f t="shared" si="2"/>
        <v>0</v>
      </c>
      <c r="H30" s="79">
        <f t="shared" ref="H30:H33" si="3">G30*$H$13</f>
        <v>0</v>
      </c>
    </row>
    <row r="31" spans="1:11" s="3" customFormat="1" x14ac:dyDescent="0.3">
      <c r="B31" s="75"/>
      <c r="C31" s="76"/>
      <c r="D31" s="77"/>
      <c r="E31" s="77"/>
      <c r="F31" s="78"/>
      <c r="G31" s="79">
        <f t="shared" si="2"/>
        <v>0</v>
      </c>
      <c r="H31" s="79">
        <f t="shared" si="3"/>
        <v>0</v>
      </c>
    </row>
    <row r="32" spans="1:11" s="3" customFormat="1" x14ac:dyDescent="0.3">
      <c r="B32" s="75"/>
      <c r="C32" s="76"/>
      <c r="D32" s="77"/>
      <c r="E32" s="77"/>
      <c r="F32" s="78"/>
      <c r="G32" s="79">
        <f t="shared" si="2"/>
        <v>0</v>
      </c>
      <c r="H32" s="79">
        <f t="shared" si="3"/>
        <v>0</v>
      </c>
    </row>
    <row r="33" spans="2:11" s="3" customFormat="1" x14ac:dyDescent="0.3">
      <c r="B33" s="80"/>
      <c r="C33" s="81"/>
      <c r="D33" s="82"/>
      <c r="E33" s="82"/>
      <c r="F33" s="83"/>
      <c r="G33" s="84">
        <f t="shared" si="2"/>
        <v>0</v>
      </c>
      <c r="H33" s="79">
        <f t="shared" si="3"/>
        <v>0</v>
      </c>
    </row>
    <row r="34" spans="2:11" s="3" customFormat="1" x14ac:dyDescent="0.3">
      <c r="B34" s="54"/>
      <c r="C34" s="55"/>
      <c r="D34" s="723" t="s">
        <v>356</v>
      </c>
      <c r="E34" s="724"/>
      <c r="F34" s="725"/>
      <c r="G34" s="86">
        <f>SUM(G26:G33)</f>
        <v>198640</v>
      </c>
      <c r="H34" s="86">
        <f>SUM(H26:H33)</f>
        <v>49660</v>
      </c>
      <c r="J34" s="87">
        <f>SUM(G34:H34)</f>
        <v>248300</v>
      </c>
      <c r="K34" s="39" t="s">
        <v>18</v>
      </c>
    </row>
    <row r="35" spans="2:11" s="3" customFormat="1" x14ac:dyDescent="0.3">
      <c r="B35" s="54"/>
      <c r="C35" s="55"/>
      <c r="D35" s="55"/>
      <c r="E35" s="55"/>
      <c r="F35" s="55"/>
      <c r="G35" s="55"/>
      <c r="H35" s="55"/>
    </row>
    <row r="36" spans="2:11" s="3" customFormat="1" x14ac:dyDescent="0.3">
      <c r="B36" s="55"/>
      <c r="C36" s="55"/>
      <c r="D36" s="55"/>
      <c r="E36" s="55"/>
    </row>
    <row r="37" spans="2:11" s="3" customFormat="1" x14ac:dyDescent="0.3">
      <c r="B37" s="39" t="s">
        <v>357</v>
      </c>
      <c r="C37" s="55"/>
      <c r="D37" s="55"/>
      <c r="E37" s="55"/>
    </row>
    <row r="38" spans="2:11" s="3" customFormat="1" x14ac:dyDescent="0.3">
      <c r="B38" s="726" t="s">
        <v>211</v>
      </c>
      <c r="C38" s="727"/>
      <c r="D38" s="94">
        <v>150</v>
      </c>
      <c r="E38" s="55"/>
    </row>
    <row r="39" spans="2:11" s="3" customFormat="1" x14ac:dyDescent="0.3">
      <c r="B39" s="728" t="s">
        <v>358</v>
      </c>
      <c r="C39" s="729"/>
      <c r="D39" s="95">
        <v>0.9</v>
      </c>
      <c r="E39" s="55"/>
    </row>
    <row r="40" spans="2:11" s="3" customFormat="1" x14ac:dyDescent="0.3">
      <c r="B40" s="730" t="s">
        <v>360</v>
      </c>
      <c r="C40" s="731"/>
      <c r="D40" s="62">
        <f>(C6*D38*D39)*(1+H13)</f>
        <v>0</v>
      </c>
      <c r="E40" s="55"/>
      <c r="F40" s="659">
        <f>D40</f>
        <v>0</v>
      </c>
      <c r="G40" s="40" t="s">
        <v>18</v>
      </c>
    </row>
    <row r="41" spans="2:11" s="3" customFormat="1" x14ac:dyDescent="0.3">
      <c r="B41" s="55"/>
      <c r="C41" s="55"/>
      <c r="D41" s="55"/>
      <c r="E41" s="55"/>
    </row>
    <row r="42" spans="2:11" s="3" customFormat="1" x14ac:dyDescent="0.3">
      <c r="B42" s="641" t="s">
        <v>485</v>
      </c>
      <c r="C42" s="40" t="s">
        <v>204</v>
      </c>
      <c r="D42" s="499" t="s">
        <v>206</v>
      </c>
      <c r="E42" s="55"/>
    </row>
    <row r="43" spans="2:11" s="3" customFormat="1" x14ac:dyDescent="0.3">
      <c r="B43" s="70" t="str">
        <f>+B15</f>
        <v>Community Manager</v>
      </c>
      <c r="C43" s="642">
        <f>D15*0.15</f>
        <v>14250</v>
      </c>
      <c r="D43" s="643">
        <f>+C43*$H$24</f>
        <v>3562.5</v>
      </c>
      <c r="E43" s="55"/>
    </row>
    <row r="44" spans="2:11" s="3" customFormat="1" x14ac:dyDescent="0.3">
      <c r="B44" s="75" t="str">
        <f>+B16</f>
        <v>Assistant Manager</v>
      </c>
      <c r="C44" s="644">
        <v>4000</v>
      </c>
      <c r="D44" s="645">
        <f>+C44*$H$24</f>
        <v>1000</v>
      </c>
      <c r="E44" s="55"/>
    </row>
    <row r="45" spans="2:11" s="3" customFormat="1" x14ac:dyDescent="0.3">
      <c r="B45" s="640"/>
      <c r="C45" s="644"/>
      <c r="D45" s="645"/>
      <c r="E45" s="55"/>
    </row>
    <row r="46" spans="2:11" s="3" customFormat="1" x14ac:dyDescent="0.3">
      <c r="B46" s="225" t="str">
        <f>+B26</f>
        <v>Service Supervisor</v>
      </c>
      <c r="C46" s="644">
        <v>6000</v>
      </c>
      <c r="D46" s="645">
        <f>+C46*$H$24</f>
        <v>1500</v>
      </c>
      <c r="E46" s="55"/>
    </row>
    <row r="47" spans="2:11" s="3" customFormat="1" x14ac:dyDescent="0.3">
      <c r="B47" s="225" t="str">
        <f t="shared" ref="B47:B49" si="4">+B27</f>
        <v>Service Technician</v>
      </c>
      <c r="C47" s="644">
        <v>4000</v>
      </c>
      <c r="D47" s="645">
        <f>+C47*$H$24</f>
        <v>1000</v>
      </c>
      <c r="E47" s="55"/>
    </row>
    <row r="48" spans="2:11" s="3" customFormat="1" x14ac:dyDescent="0.3">
      <c r="B48" s="225" t="str">
        <f t="shared" si="4"/>
        <v>Make-Ready</v>
      </c>
      <c r="C48" s="644">
        <f>IF(B48&gt;0,3000,"")</f>
        <v>3000</v>
      </c>
      <c r="D48" s="645">
        <f>IF(C48&gt;0,C48*$H$24,"")</f>
        <v>750</v>
      </c>
      <c r="E48" s="55"/>
    </row>
    <row r="49" spans="2:8" s="3" customFormat="1" x14ac:dyDescent="0.3">
      <c r="B49" s="225" t="str">
        <f t="shared" si="4"/>
        <v>Porter</v>
      </c>
      <c r="C49" s="644">
        <f>IF(B49&gt;0,2000,"")</f>
        <v>2000</v>
      </c>
      <c r="D49" s="645">
        <f>IF(C49&gt;0,C49*$H$24,"")</f>
        <v>500</v>
      </c>
      <c r="E49" s="55"/>
    </row>
    <row r="50" spans="2:8" s="3" customFormat="1" x14ac:dyDescent="0.3">
      <c r="B50" s="196"/>
      <c r="C50" s="644" t="str">
        <f>IF(B50&gt;0,2000,"")</f>
        <v/>
      </c>
      <c r="D50" s="645" t="str">
        <f>IF(C50="&lt;&gt;0",C50*$H$24,"")</f>
        <v/>
      </c>
      <c r="E50" s="55"/>
    </row>
    <row r="51" spans="2:8" s="3" customFormat="1" x14ac:dyDescent="0.3">
      <c r="B51" s="641" t="s">
        <v>18</v>
      </c>
      <c r="C51" s="648">
        <f>SUM(C43:C50)</f>
        <v>33250</v>
      </c>
      <c r="D51" s="648">
        <f>SUM(D43:D50)</f>
        <v>8312.5</v>
      </c>
      <c r="E51" s="55"/>
      <c r="F51" s="658">
        <f>SUM(C51:D51)</f>
        <v>41562.5</v>
      </c>
      <c r="G51" s="40" t="s">
        <v>18</v>
      </c>
    </row>
    <row r="52" spans="2:8" s="3" customFormat="1" x14ac:dyDescent="0.3">
      <c r="B52" s="54"/>
      <c r="C52" s="55"/>
      <c r="D52" s="55"/>
      <c r="E52" s="55"/>
      <c r="F52" s="55"/>
      <c r="G52" s="55"/>
      <c r="H52" s="55"/>
    </row>
    <row r="53" spans="2:8" s="3" customFormat="1" x14ac:dyDescent="0.3">
      <c r="B53" s="54"/>
      <c r="C53" s="55"/>
      <c r="D53" s="55"/>
      <c r="E53" s="55"/>
      <c r="F53" s="55"/>
      <c r="G53" s="55"/>
      <c r="H53" s="55"/>
    </row>
    <row r="54" spans="2:8" s="3" customFormat="1" x14ac:dyDescent="0.3">
      <c r="B54" s="54"/>
      <c r="C54" s="55"/>
      <c r="D54" s="55"/>
      <c r="E54" s="55"/>
      <c r="F54" s="55"/>
      <c r="G54" s="55"/>
      <c r="H54" s="55"/>
    </row>
    <row r="55" spans="2:8" s="3" customFormat="1" x14ac:dyDescent="0.3">
      <c r="B55" s="54"/>
      <c r="C55" s="55"/>
      <c r="D55" s="55"/>
      <c r="E55" s="55"/>
      <c r="F55" s="55"/>
      <c r="G55" s="55"/>
      <c r="H55" s="55"/>
    </row>
    <row r="56" spans="2:8" s="3" customFormat="1" x14ac:dyDescent="0.3">
      <c r="B56" s="54"/>
      <c r="C56" s="55"/>
      <c r="D56" s="55"/>
      <c r="E56" s="55"/>
      <c r="F56" s="55"/>
      <c r="G56" s="55"/>
      <c r="H56" s="55"/>
    </row>
    <row r="57" spans="2:8" s="3" customFormat="1" x14ac:dyDescent="0.3">
      <c r="B57" s="54"/>
      <c r="C57" s="55"/>
      <c r="D57" s="55"/>
      <c r="E57" s="55"/>
      <c r="F57" s="55"/>
      <c r="G57" s="55"/>
      <c r="H57" s="55"/>
    </row>
    <row r="58" spans="2:8" s="3" customFormat="1" x14ac:dyDescent="0.3">
      <c r="B58" s="54"/>
      <c r="C58" s="55"/>
      <c r="D58" s="55"/>
      <c r="E58" s="55"/>
      <c r="F58" s="55"/>
      <c r="G58" s="55"/>
      <c r="H58" s="55"/>
    </row>
    <row r="59" spans="2:8" s="3" customFormat="1" x14ac:dyDescent="0.3">
      <c r="B59" s="54"/>
      <c r="C59" s="55"/>
      <c r="D59" s="55"/>
      <c r="E59" s="55"/>
      <c r="F59" s="55"/>
      <c r="G59" s="55"/>
      <c r="H59" s="55"/>
    </row>
    <row r="60" spans="2:8" s="3" customFormat="1" x14ac:dyDescent="0.3">
      <c r="B60" s="54"/>
      <c r="C60" s="55"/>
      <c r="D60" s="55"/>
      <c r="E60" s="55"/>
      <c r="F60" s="55"/>
      <c r="G60" s="55"/>
      <c r="H60" s="55"/>
    </row>
    <row r="61" spans="2:8" s="3" customFormat="1" x14ac:dyDescent="0.3">
      <c r="B61" s="54"/>
      <c r="C61" s="55"/>
      <c r="D61" s="55"/>
      <c r="E61" s="55"/>
      <c r="F61" s="55"/>
      <c r="G61" s="55"/>
      <c r="H61" s="55"/>
    </row>
    <row r="62" spans="2:8" s="3" customFormat="1" x14ac:dyDescent="0.3">
      <c r="B62" s="54"/>
      <c r="C62" s="55"/>
      <c r="D62" s="55"/>
      <c r="E62" s="55"/>
      <c r="F62" s="55"/>
      <c r="G62" s="55"/>
      <c r="H62" s="55"/>
    </row>
    <row r="63" spans="2:8" s="3" customFormat="1" x14ac:dyDescent="0.3">
      <c r="B63" s="54"/>
      <c r="C63" s="55"/>
      <c r="D63" s="55"/>
      <c r="E63" s="55"/>
      <c r="F63" s="55"/>
      <c r="G63" s="55"/>
      <c r="H63" s="55"/>
    </row>
    <row r="64" spans="2:8" s="3" customFormat="1" x14ac:dyDescent="0.3">
      <c r="B64" s="54"/>
      <c r="C64" s="55"/>
      <c r="D64" s="55"/>
      <c r="E64" s="55"/>
      <c r="F64" s="55"/>
      <c r="G64" s="55"/>
      <c r="H64" s="55"/>
    </row>
    <row r="65" spans="2:8" s="3" customFormat="1" x14ac:dyDescent="0.3">
      <c r="B65" s="54"/>
      <c r="C65" s="55"/>
      <c r="D65" s="55"/>
      <c r="E65" s="55"/>
      <c r="F65" s="55"/>
      <c r="G65" s="55"/>
      <c r="H65" s="55"/>
    </row>
    <row r="66" spans="2:8" s="3" customFormat="1" x14ac:dyDescent="0.3">
      <c r="B66" s="54"/>
      <c r="C66" s="55"/>
      <c r="D66" s="55"/>
      <c r="E66" s="55"/>
      <c r="F66" s="55"/>
      <c r="G66" s="55"/>
      <c r="H66" s="55"/>
    </row>
    <row r="67" spans="2:8" s="3" customFormat="1" x14ac:dyDescent="0.3">
      <c r="B67" s="54"/>
      <c r="C67" s="55"/>
      <c r="D67" s="55"/>
      <c r="E67" s="55"/>
      <c r="F67" s="55"/>
      <c r="G67" s="55"/>
      <c r="H67" s="55"/>
    </row>
    <row r="68" spans="2:8" s="3" customFormat="1" x14ac:dyDescent="0.3">
      <c r="B68" s="54"/>
      <c r="C68" s="55"/>
      <c r="D68" s="55"/>
      <c r="E68" s="55"/>
      <c r="F68" s="55"/>
      <c r="G68" s="55"/>
      <c r="H68" s="55"/>
    </row>
    <row r="69" spans="2:8" s="3" customFormat="1" x14ac:dyDescent="0.3">
      <c r="B69" s="54"/>
      <c r="C69" s="55"/>
      <c r="D69" s="55"/>
      <c r="E69" s="55"/>
      <c r="F69" s="55"/>
      <c r="G69" s="55"/>
      <c r="H69" s="55"/>
    </row>
    <row r="70" spans="2:8" s="3" customFormat="1" x14ac:dyDescent="0.3">
      <c r="B70" s="54"/>
      <c r="C70" s="55"/>
      <c r="D70" s="55"/>
      <c r="E70" s="55"/>
      <c r="F70" s="55"/>
      <c r="G70" s="55"/>
      <c r="H70" s="55"/>
    </row>
    <row r="71" spans="2:8" s="3" customFormat="1" x14ac:dyDescent="0.3">
      <c r="B71" s="54"/>
      <c r="C71" s="55"/>
      <c r="D71" s="55"/>
      <c r="E71" s="55"/>
      <c r="F71" s="55"/>
      <c r="G71" s="55"/>
      <c r="H71" s="55"/>
    </row>
    <row r="72" spans="2:8" s="3" customFormat="1" x14ac:dyDescent="0.3">
      <c r="B72" s="54"/>
      <c r="C72" s="55"/>
      <c r="D72" s="55"/>
      <c r="E72" s="55"/>
      <c r="F72" s="55"/>
      <c r="G72" s="55"/>
      <c r="H72" s="55"/>
    </row>
    <row r="73" spans="2:8" s="3" customFormat="1" x14ac:dyDescent="0.3">
      <c r="B73" s="54"/>
      <c r="C73" s="55"/>
      <c r="D73" s="55"/>
      <c r="E73" s="55"/>
      <c r="F73" s="55"/>
      <c r="G73" s="55"/>
      <c r="H73" s="55"/>
    </row>
    <row r="74" spans="2:8" s="3" customFormat="1" x14ac:dyDescent="0.3">
      <c r="B74" s="54"/>
      <c r="C74" s="55"/>
      <c r="D74" s="55"/>
      <c r="E74" s="55"/>
      <c r="F74" s="55"/>
      <c r="G74" s="55"/>
      <c r="H74" s="55"/>
    </row>
    <row r="75" spans="2:8" s="3" customFormat="1" x14ac:dyDescent="0.3">
      <c r="B75" s="54"/>
      <c r="C75" s="55"/>
      <c r="D75" s="55"/>
      <c r="E75" s="55"/>
      <c r="F75" s="55"/>
      <c r="G75" s="55"/>
      <c r="H75" s="55"/>
    </row>
    <row r="76" spans="2:8" s="3" customFormat="1" x14ac:dyDescent="0.3">
      <c r="B76" s="54"/>
      <c r="C76" s="55"/>
      <c r="D76" s="55"/>
      <c r="E76" s="55"/>
      <c r="F76" s="55"/>
      <c r="G76" s="55"/>
      <c r="H76" s="55"/>
    </row>
    <row r="77" spans="2:8" s="3" customFormat="1" x14ac:dyDescent="0.3">
      <c r="B77" s="54"/>
      <c r="C77" s="55"/>
      <c r="D77" s="55"/>
      <c r="E77" s="55"/>
      <c r="F77" s="55"/>
      <c r="G77" s="55"/>
      <c r="H77" s="55"/>
    </row>
    <row r="78" spans="2:8" s="3" customFormat="1" x14ac:dyDescent="0.3">
      <c r="B78" s="54"/>
      <c r="C78" s="55"/>
      <c r="D78" s="55"/>
      <c r="E78" s="55"/>
      <c r="F78" s="55"/>
      <c r="G78" s="55"/>
      <c r="H78" s="55"/>
    </row>
    <row r="79" spans="2:8" s="3" customFormat="1" x14ac:dyDescent="0.3">
      <c r="B79" s="54"/>
      <c r="C79" s="55"/>
      <c r="D79" s="55"/>
      <c r="E79" s="55"/>
      <c r="F79" s="55"/>
      <c r="G79" s="55"/>
      <c r="H79" s="55"/>
    </row>
    <row r="80" spans="2:8" s="3" customFormat="1" x14ac:dyDescent="0.3">
      <c r="B80" s="54"/>
      <c r="C80" s="55"/>
      <c r="D80" s="55"/>
      <c r="E80" s="55"/>
      <c r="F80" s="55"/>
      <c r="G80" s="55"/>
      <c r="H80" s="55"/>
    </row>
    <row r="81" spans="2:8" s="3" customFormat="1" x14ac:dyDescent="0.3">
      <c r="B81" s="54"/>
      <c r="C81" s="55"/>
      <c r="D81" s="55"/>
      <c r="E81" s="55"/>
      <c r="F81" s="55"/>
      <c r="G81" s="55"/>
      <c r="H81" s="55"/>
    </row>
    <row r="82" spans="2:8" s="3" customFormat="1" x14ac:dyDescent="0.3">
      <c r="B82" s="54"/>
      <c r="C82" s="55"/>
      <c r="D82" s="55"/>
      <c r="E82" s="55"/>
      <c r="F82" s="55"/>
      <c r="G82" s="55"/>
      <c r="H82" s="55"/>
    </row>
    <row r="83" spans="2:8" s="3" customFormat="1" x14ac:dyDescent="0.3">
      <c r="B83" s="54"/>
      <c r="C83" s="55"/>
      <c r="D83" s="55"/>
      <c r="E83" s="55"/>
      <c r="F83" s="55"/>
      <c r="G83" s="55"/>
      <c r="H83" s="55"/>
    </row>
    <row r="84" spans="2:8" s="3" customFormat="1" x14ac:dyDescent="0.3">
      <c r="B84" s="54"/>
      <c r="C84" s="55"/>
      <c r="D84" s="55"/>
      <c r="E84" s="55"/>
      <c r="F84" s="55"/>
      <c r="G84" s="55"/>
      <c r="H84" s="55"/>
    </row>
    <row r="85" spans="2:8" s="3" customFormat="1" x14ac:dyDescent="0.3">
      <c r="B85" s="54"/>
      <c r="C85" s="55"/>
      <c r="D85" s="55"/>
      <c r="E85" s="55"/>
      <c r="F85" s="55"/>
      <c r="G85" s="55"/>
      <c r="H85" s="55"/>
    </row>
    <row r="86" spans="2:8" s="3" customFormat="1" x14ac:dyDescent="0.3">
      <c r="B86" s="54"/>
      <c r="C86" s="55"/>
      <c r="D86" s="55"/>
      <c r="E86" s="55"/>
      <c r="F86" s="55"/>
      <c r="G86" s="55"/>
      <c r="H86" s="55"/>
    </row>
    <row r="87" spans="2:8" s="3" customFormat="1" x14ac:dyDescent="0.3">
      <c r="B87" s="54"/>
      <c r="C87" s="55"/>
      <c r="D87" s="55"/>
      <c r="E87" s="55"/>
      <c r="F87" s="55"/>
      <c r="G87" s="55"/>
      <c r="H87" s="55"/>
    </row>
    <row r="88" spans="2:8" s="3" customFormat="1" x14ac:dyDescent="0.3">
      <c r="B88" s="54"/>
      <c r="C88" s="55"/>
      <c r="D88" s="55"/>
      <c r="E88" s="55"/>
      <c r="F88" s="55"/>
      <c r="G88" s="55"/>
      <c r="H88" s="55"/>
    </row>
    <row r="89" spans="2:8" s="3" customFormat="1" x14ac:dyDescent="0.3">
      <c r="B89" s="54"/>
      <c r="C89" s="55"/>
      <c r="D89" s="55"/>
      <c r="E89" s="55"/>
      <c r="F89" s="55"/>
      <c r="G89" s="55"/>
      <c r="H89" s="55"/>
    </row>
    <row r="90" spans="2:8" s="3" customFormat="1" x14ac:dyDescent="0.3">
      <c r="B90" s="54"/>
      <c r="C90" s="55"/>
      <c r="D90" s="55"/>
      <c r="E90" s="55"/>
      <c r="F90" s="55"/>
      <c r="G90" s="55"/>
      <c r="H90" s="55"/>
    </row>
    <row r="91" spans="2:8" s="3" customFormat="1" x14ac:dyDescent="0.3">
      <c r="B91" s="54"/>
      <c r="C91" s="55"/>
      <c r="D91" s="55"/>
      <c r="E91" s="55"/>
      <c r="F91" s="55"/>
      <c r="G91" s="55"/>
      <c r="H91" s="55"/>
    </row>
    <row r="92" spans="2:8" s="3" customFormat="1" x14ac:dyDescent="0.3">
      <c r="B92" s="54"/>
      <c r="C92" s="55"/>
      <c r="D92" s="55"/>
      <c r="E92" s="55"/>
      <c r="F92" s="55"/>
      <c r="G92" s="55"/>
      <c r="H92" s="55"/>
    </row>
    <row r="93" spans="2:8" s="3" customFormat="1" x14ac:dyDescent="0.3">
      <c r="B93" s="54"/>
      <c r="C93" s="55"/>
      <c r="D93" s="55"/>
      <c r="E93" s="55"/>
      <c r="F93" s="55"/>
      <c r="G93" s="55"/>
      <c r="H93" s="55"/>
    </row>
    <row r="94" spans="2:8" s="3" customFormat="1" x14ac:dyDescent="0.3">
      <c r="B94" s="54"/>
      <c r="C94" s="55"/>
      <c r="D94" s="55"/>
      <c r="E94" s="55"/>
      <c r="F94" s="55"/>
      <c r="G94" s="55"/>
      <c r="H94" s="55"/>
    </row>
    <row r="95" spans="2:8" s="3" customFormat="1" x14ac:dyDescent="0.3">
      <c r="B95" s="54"/>
      <c r="C95" s="55"/>
      <c r="D95" s="55"/>
      <c r="E95" s="55"/>
      <c r="F95" s="55"/>
      <c r="G95" s="55"/>
      <c r="H95" s="55"/>
    </row>
    <row r="96" spans="2:8" s="3" customFormat="1" x14ac:dyDescent="0.3">
      <c r="B96" s="54"/>
      <c r="C96" s="55"/>
      <c r="D96" s="55"/>
      <c r="E96" s="55"/>
      <c r="F96" s="55"/>
      <c r="G96" s="55"/>
      <c r="H96" s="55"/>
    </row>
    <row r="97" spans="2:8" s="3" customFormat="1" x14ac:dyDescent="0.3">
      <c r="B97" s="54"/>
      <c r="C97" s="55"/>
      <c r="D97" s="55"/>
      <c r="E97" s="55"/>
      <c r="F97" s="55"/>
      <c r="G97" s="55"/>
      <c r="H97" s="55"/>
    </row>
    <row r="98" spans="2:8" s="3" customFormat="1" x14ac:dyDescent="0.3">
      <c r="B98" s="54"/>
      <c r="C98" s="55"/>
      <c r="D98" s="55"/>
      <c r="E98" s="55"/>
      <c r="F98" s="55"/>
      <c r="G98" s="55"/>
      <c r="H98" s="55"/>
    </row>
    <row r="99" spans="2:8" s="3" customFormat="1" x14ac:dyDescent="0.3">
      <c r="B99" s="54"/>
      <c r="C99" s="55"/>
      <c r="D99" s="55"/>
      <c r="E99" s="55"/>
      <c r="F99" s="55"/>
      <c r="G99" s="55"/>
      <c r="H99" s="55"/>
    </row>
    <row r="100" spans="2:8" s="3" customFormat="1" x14ac:dyDescent="0.3">
      <c r="B100" s="54"/>
      <c r="C100" s="55"/>
      <c r="D100" s="55"/>
      <c r="E100" s="55"/>
      <c r="F100" s="55"/>
      <c r="G100" s="55"/>
      <c r="H100" s="55"/>
    </row>
    <row r="101" spans="2:8" s="3" customFormat="1" x14ac:dyDescent="0.3">
      <c r="B101" s="54"/>
      <c r="C101" s="55"/>
      <c r="D101" s="55"/>
      <c r="E101" s="55"/>
      <c r="F101" s="55"/>
      <c r="G101" s="55"/>
      <c r="H101" s="55"/>
    </row>
    <row r="102" spans="2:8" s="3" customFormat="1" x14ac:dyDescent="0.3">
      <c r="B102" s="54"/>
      <c r="C102" s="55"/>
      <c r="D102" s="55"/>
      <c r="E102" s="55"/>
      <c r="F102" s="55"/>
      <c r="G102" s="55"/>
      <c r="H102" s="55"/>
    </row>
    <row r="103" spans="2:8" s="3" customFormat="1" x14ac:dyDescent="0.3">
      <c r="B103" s="54"/>
      <c r="C103" s="55"/>
      <c r="D103" s="55"/>
      <c r="E103" s="55"/>
      <c r="F103" s="55"/>
      <c r="G103" s="55"/>
      <c r="H103" s="55"/>
    </row>
    <row r="104" spans="2:8" s="3" customFormat="1" x14ac:dyDescent="0.3">
      <c r="B104" s="54"/>
      <c r="C104" s="55"/>
      <c r="D104" s="55"/>
      <c r="E104" s="55"/>
      <c r="F104" s="55"/>
      <c r="G104" s="55"/>
      <c r="H104" s="55"/>
    </row>
    <row r="105" spans="2:8" s="3" customFormat="1" x14ac:dyDescent="0.3">
      <c r="B105" s="54"/>
      <c r="C105" s="55"/>
      <c r="D105" s="55"/>
      <c r="E105" s="55"/>
      <c r="F105" s="55"/>
      <c r="G105" s="55"/>
      <c r="H105" s="55"/>
    </row>
    <row r="106" spans="2:8" s="3" customFormat="1" x14ac:dyDescent="0.3">
      <c r="B106" s="54"/>
      <c r="C106" s="55"/>
      <c r="D106" s="55"/>
      <c r="E106" s="55"/>
      <c r="F106" s="55"/>
      <c r="G106" s="55"/>
      <c r="H106" s="55"/>
    </row>
    <row r="107" spans="2:8" s="3" customFormat="1" x14ac:dyDescent="0.3">
      <c r="B107" s="54"/>
      <c r="C107" s="55"/>
      <c r="D107" s="55"/>
      <c r="E107" s="55"/>
      <c r="F107" s="55"/>
      <c r="G107" s="55"/>
      <c r="H107" s="55"/>
    </row>
    <row r="108" spans="2:8" s="3" customFormat="1" x14ac:dyDescent="0.3">
      <c r="B108" s="54"/>
      <c r="C108" s="55"/>
      <c r="D108" s="55"/>
      <c r="E108" s="55"/>
      <c r="F108" s="55"/>
      <c r="G108" s="55"/>
      <c r="H108" s="55"/>
    </row>
    <row r="109" spans="2:8" s="3" customFormat="1" x14ac:dyDescent="0.3">
      <c r="B109" s="54"/>
      <c r="C109" s="55"/>
      <c r="D109" s="55"/>
      <c r="E109" s="55"/>
      <c r="F109" s="55"/>
      <c r="G109" s="55"/>
      <c r="H109" s="55"/>
    </row>
    <row r="110" spans="2:8" s="3" customFormat="1" x14ac:dyDescent="0.3">
      <c r="B110" s="54"/>
      <c r="C110" s="55"/>
      <c r="D110" s="55"/>
      <c r="E110" s="55"/>
      <c r="F110" s="55"/>
      <c r="G110" s="55"/>
      <c r="H110" s="55"/>
    </row>
    <row r="111" spans="2:8" s="3" customFormat="1" x14ac:dyDescent="0.3">
      <c r="B111" s="54"/>
      <c r="C111" s="55"/>
      <c r="D111" s="55"/>
      <c r="E111" s="55"/>
      <c r="F111" s="55"/>
      <c r="G111" s="55"/>
      <c r="H111" s="55"/>
    </row>
    <row r="112" spans="2:8" s="3" customFormat="1" x14ac:dyDescent="0.3">
      <c r="B112" s="54"/>
      <c r="C112" s="55"/>
      <c r="D112" s="55"/>
      <c r="E112" s="55"/>
      <c r="F112" s="55"/>
      <c r="G112" s="55"/>
      <c r="H112" s="55"/>
    </row>
    <row r="113" spans="2:8" s="3" customFormat="1" x14ac:dyDescent="0.3">
      <c r="B113" s="54"/>
      <c r="C113" s="55"/>
      <c r="D113" s="55"/>
      <c r="E113" s="55"/>
      <c r="F113" s="55"/>
      <c r="G113" s="55"/>
      <c r="H113" s="55"/>
    </row>
    <row r="114" spans="2:8" s="3" customFormat="1" x14ac:dyDescent="0.3">
      <c r="B114" s="54"/>
      <c r="C114" s="55"/>
      <c r="D114" s="55"/>
      <c r="E114" s="55"/>
      <c r="F114" s="55"/>
      <c r="G114" s="55"/>
      <c r="H114" s="55"/>
    </row>
    <row r="115" spans="2:8" s="3" customFormat="1" x14ac:dyDescent="0.3">
      <c r="B115" s="54"/>
      <c r="C115" s="55"/>
      <c r="D115" s="55"/>
      <c r="E115" s="55"/>
      <c r="F115" s="55"/>
      <c r="G115" s="55"/>
      <c r="H115" s="55"/>
    </row>
    <row r="116" spans="2:8" s="3" customFormat="1" x14ac:dyDescent="0.3">
      <c r="B116" s="54"/>
      <c r="C116" s="55"/>
      <c r="D116" s="55"/>
      <c r="E116" s="55"/>
      <c r="F116" s="55"/>
      <c r="G116" s="55"/>
      <c r="H116" s="55"/>
    </row>
    <row r="117" spans="2:8" s="3" customFormat="1" x14ac:dyDescent="0.3">
      <c r="B117" s="54"/>
      <c r="C117" s="55"/>
      <c r="D117" s="55"/>
      <c r="E117" s="55"/>
      <c r="F117" s="55"/>
      <c r="G117" s="55"/>
      <c r="H117" s="55"/>
    </row>
    <row r="118" spans="2:8" s="3" customFormat="1" x14ac:dyDescent="0.3">
      <c r="B118" s="54"/>
      <c r="C118" s="55"/>
      <c r="D118" s="55"/>
      <c r="E118" s="55"/>
      <c r="F118" s="55"/>
      <c r="G118" s="55"/>
      <c r="H118" s="55"/>
    </row>
    <row r="119" spans="2:8" s="3" customFormat="1" x14ac:dyDescent="0.3">
      <c r="B119" s="54"/>
      <c r="C119" s="55"/>
      <c r="D119" s="55"/>
      <c r="E119" s="55"/>
      <c r="F119" s="55"/>
      <c r="G119" s="55"/>
      <c r="H119" s="55"/>
    </row>
    <row r="120" spans="2:8" s="3" customFormat="1" x14ac:dyDescent="0.3">
      <c r="B120" s="54"/>
      <c r="C120" s="55"/>
      <c r="D120" s="55"/>
      <c r="E120" s="55"/>
      <c r="F120" s="55"/>
      <c r="G120" s="55"/>
      <c r="H120" s="55"/>
    </row>
    <row r="121" spans="2:8" s="3" customFormat="1" x14ac:dyDescent="0.3">
      <c r="B121" s="54"/>
      <c r="C121" s="55"/>
      <c r="D121" s="55"/>
      <c r="E121" s="55"/>
      <c r="F121" s="55"/>
      <c r="G121" s="55"/>
      <c r="H121" s="55"/>
    </row>
    <row r="122" spans="2:8" s="3" customFormat="1" x14ac:dyDescent="0.3">
      <c r="B122" s="54"/>
      <c r="C122" s="55"/>
      <c r="D122" s="55"/>
      <c r="E122" s="55"/>
      <c r="F122" s="55"/>
      <c r="G122" s="55"/>
      <c r="H122" s="55"/>
    </row>
    <row r="123" spans="2:8" s="3" customFormat="1" x14ac:dyDescent="0.3">
      <c r="B123" s="54"/>
      <c r="C123" s="55"/>
      <c r="D123" s="55"/>
      <c r="E123" s="55"/>
      <c r="F123" s="55"/>
      <c r="G123" s="55"/>
      <c r="H123" s="55"/>
    </row>
    <row r="124" spans="2:8" s="3" customFormat="1" x14ac:dyDescent="0.3">
      <c r="B124" s="54"/>
      <c r="C124" s="55"/>
      <c r="D124" s="55"/>
      <c r="E124" s="55"/>
      <c r="F124" s="55"/>
      <c r="G124" s="55"/>
      <c r="H124" s="55"/>
    </row>
    <row r="125" spans="2:8" s="3" customFormat="1" x14ac:dyDescent="0.3">
      <c r="B125" s="54"/>
      <c r="C125" s="55"/>
      <c r="D125" s="55"/>
      <c r="E125" s="55"/>
      <c r="F125" s="55"/>
      <c r="G125" s="55"/>
      <c r="H125" s="55"/>
    </row>
    <row r="126" spans="2:8" s="3" customFormat="1" x14ac:dyDescent="0.3">
      <c r="B126" s="54"/>
      <c r="C126" s="55"/>
      <c r="D126" s="55"/>
      <c r="E126" s="55"/>
      <c r="F126" s="55"/>
      <c r="G126" s="55"/>
      <c r="H126" s="55"/>
    </row>
    <row r="127" spans="2:8" s="3" customFormat="1" x14ac:dyDescent="0.3">
      <c r="B127" s="54"/>
      <c r="C127" s="55"/>
      <c r="D127" s="55"/>
      <c r="E127" s="55"/>
      <c r="F127" s="55"/>
      <c r="G127" s="55"/>
      <c r="H127" s="55"/>
    </row>
  </sheetData>
  <mergeCells count="5">
    <mergeCell ref="B38:C38"/>
    <mergeCell ref="B39:C39"/>
    <mergeCell ref="B40:C40"/>
    <mergeCell ref="D34:F34"/>
    <mergeCell ref="D21:F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39B53-83AE-4B17-A38E-0AD8308325CB}">
  <sheetPr>
    <tabColor theme="3" tint="0.249977111117893"/>
  </sheetPr>
  <dimension ref="B2:R106"/>
  <sheetViews>
    <sheetView topLeftCell="D1" workbookViewId="0">
      <selection activeCell="P103" sqref="P103"/>
    </sheetView>
  </sheetViews>
  <sheetFormatPr defaultColWidth="8.88671875" defaultRowHeight="13.8" outlineLevelRow="1" outlineLevelCol="1" x14ac:dyDescent="0.3"/>
  <cols>
    <col min="1" max="1" width="8.88671875" style="3"/>
    <col min="2" max="2" width="29.33203125" style="3" customWidth="1"/>
    <col min="3" max="3" width="30.33203125" style="3" customWidth="1"/>
    <col min="4" max="4" width="11.6640625" style="3" customWidth="1"/>
    <col min="5" max="16" width="11.6640625" style="3" customWidth="1" outlineLevel="1"/>
    <col min="17" max="17" width="18.6640625" style="3" customWidth="1"/>
    <col min="18" max="18" width="57.109375" style="3" customWidth="1"/>
    <col min="19" max="16384" width="8.88671875" style="3"/>
  </cols>
  <sheetData>
    <row r="2" spans="2:18" x14ac:dyDescent="0.3">
      <c r="B2" s="37" t="s">
        <v>258</v>
      </c>
    </row>
    <row r="3" spans="2:18" x14ac:dyDescent="0.3">
      <c r="B3" s="38">
        <f>'Rent Schedule'!$E$21</f>
        <v>0</v>
      </c>
    </row>
    <row r="5" spans="2:18" ht="14.4" thickBot="1" x14ac:dyDescent="0.35">
      <c r="B5" s="39" t="s">
        <v>296</v>
      </c>
      <c r="C5" s="39" t="s">
        <v>2</v>
      </c>
      <c r="D5" s="39" t="s">
        <v>451</v>
      </c>
      <c r="E5" s="495">
        <f>+'Absorption Schedule'!I25</f>
        <v>46204</v>
      </c>
      <c r="F5" s="495">
        <f>EOMONTH(E5,1 )</f>
        <v>46265</v>
      </c>
      <c r="G5" s="495">
        <f t="shared" ref="G5:P5" si="0">EOMONTH(F5,1 )</f>
        <v>46295</v>
      </c>
      <c r="H5" s="495">
        <f t="shared" si="0"/>
        <v>46326</v>
      </c>
      <c r="I5" s="495">
        <f t="shared" si="0"/>
        <v>46356</v>
      </c>
      <c r="J5" s="495">
        <f t="shared" si="0"/>
        <v>46387</v>
      </c>
      <c r="K5" s="495">
        <f t="shared" si="0"/>
        <v>46418</v>
      </c>
      <c r="L5" s="495">
        <f t="shared" si="0"/>
        <v>46446</v>
      </c>
      <c r="M5" s="495">
        <f t="shared" si="0"/>
        <v>46477</v>
      </c>
      <c r="N5" s="495">
        <f t="shared" si="0"/>
        <v>46507</v>
      </c>
      <c r="O5" s="495">
        <f t="shared" si="0"/>
        <v>46538</v>
      </c>
      <c r="P5" s="495">
        <f t="shared" si="0"/>
        <v>46568</v>
      </c>
      <c r="Q5" s="39" t="s">
        <v>18</v>
      </c>
      <c r="R5" s="40" t="s">
        <v>255</v>
      </c>
    </row>
    <row r="6" spans="2:18" ht="14.4" thickBot="1" x14ac:dyDescent="0.35">
      <c r="B6" s="41"/>
      <c r="C6" s="41" t="s">
        <v>332</v>
      </c>
      <c r="D6" s="42"/>
      <c r="E6" s="6"/>
      <c r="F6" s="6"/>
      <c r="G6" s="6"/>
      <c r="H6" s="6"/>
      <c r="I6" s="6"/>
      <c r="J6" s="6"/>
      <c r="K6" s="6"/>
      <c r="L6" s="6"/>
      <c r="M6" s="6"/>
      <c r="N6" s="6"/>
      <c r="O6" s="6"/>
      <c r="P6" s="6"/>
      <c r="Q6" s="43">
        <f t="shared" ref="Q6:Q69" si="1">SUM(E6:P6)</f>
        <v>0</v>
      </c>
      <c r="R6" s="25"/>
    </row>
    <row r="7" spans="2:18" ht="14.4" thickBot="1" x14ac:dyDescent="0.35">
      <c r="B7" s="41"/>
      <c r="C7" s="41" t="s">
        <v>334</v>
      </c>
      <c r="D7" s="42"/>
      <c r="E7" s="6"/>
      <c r="F7" s="6"/>
      <c r="G7" s="6"/>
      <c r="H7" s="6"/>
      <c r="I7" s="6"/>
      <c r="J7" s="6"/>
      <c r="K7" s="6"/>
      <c r="L7" s="6"/>
      <c r="M7" s="6"/>
      <c r="N7" s="6"/>
      <c r="O7" s="6"/>
      <c r="P7" s="6"/>
      <c r="Q7" s="43">
        <f t="shared" si="1"/>
        <v>0</v>
      </c>
      <c r="R7" s="25"/>
    </row>
    <row r="8" spans="2:18" ht="14.4" thickBot="1" x14ac:dyDescent="0.35">
      <c r="B8" s="41"/>
      <c r="C8" s="41" t="s">
        <v>335</v>
      </c>
      <c r="D8" s="42"/>
      <c r="E8" s="6"/>
      <c r="F8" s="6"/>
      <c r="G8" s="6"/>
      <c r="H8" s="6"/>
      <c r="I8" s="6"/>
      <c r="J8" s="6"/>
      <c r="K8" s="6"/>
      <c r="L8" s="6"/>
      <c r="M8" s="6"/>
      <c r="N8" s="6"/>
      <c r="O8" s="6"/>
      <c r="P8" s="6"/>
      <c r="Q8" s="43">
        <f t="shared" si="1"/>
        <v>0</v>
      </c>
      <c r="R8" s="25"/>
    </row>
    <row r="9" spans="2:18" ht="14.4" thickBot="1" x14ac:dyDescent="0.35">
      <c r="B9" s="41"/>
      <c r="C9" s="41" t="s">
        <v>336</v>
      </c>
      <c r="D9" s="42"/>
      <c r="E9" s="6"/>
      <c r="F9" s="6"/>
      <c r="G9" s="6"/>
      <c r="H9" s="6"/>
      <c r="I9" s="6"/>
      <c r="J9" s="6"/>
      <c r="K9" s="6"/>
      <c r="L9" s="6"/>
      <c r="M9" s="6"/>
      <c r="N9" s="6"/>
      <c r="O9" s="6"/>
      <c r="P9" s="6"/>
      <c r="Q9" s="43">
        <f t="shared" si="1"/>
        <v>0</v>
      </c>
      <c r="R9" s="25"/>
    </row>
    <row r="10" spans="2:18" ht="14.4" thickBot="1" x14ac:dyDescent="0.35">
      <c r="B10" s="41"/>
      <c r="C10" s="41" t="s">
        <v>337</v>
      </c>
      <c r="D10" s="42"/>
      <c r="E10" s="6"/>
      <c r="F10" s="6"/>
      <c r="G10" s="6"/>
      <c r="H10" s="6"/>
      <c r="I10" s="6"/>
      <c r="J10" s="6"/>
      <c r="K10" s="6"/>
      <c r="L10" s="6"/>
      <c r="M10" s="6"/>
      <c r="N10" s="6"/>
      <c r="O10" s="6"/>
      <c r="P10" s="6"/>
      <c r="Q10" s="43">
        <f t="shared" si="1"/>
        <v>0</v>
      </c>
      <c r="R10" s="25"/>
    </row>
    <row r="11" spans="2:18" ht="14.4" thickBot="1" x14ac:dyDescent="0.35">
      <c r="B11" s="41"/>
      <c r="C11" s="41" t="s">
        <v>338</v>
      </c>
      <c r="D11" s="42"/>
      <c r="E11" s="6"/>
      <c r="F11" s="6"/>
      <c r="G11" s="6"/>
      <c r="H11" s="6"/>
      <c r="I11" s="6"/>
      <c r="J11" s="6"/>
      <c r="K11" s="6"/>
      <c r="L11" s="6"/>
      <c r="M11" s="6"/>
      <c r="N11" s="6"/>
      <c r="O11" s="6"/>
      <c r="P11" s="6"/>
      <c r="Q11" s="43">
        <f t="shared" si="1"/>
        <v>0</v>
      </c>
      <c r="R11" s="25"/>
    </row>
    <row r="12" spans="2:18" ht="14.4" thickBot="1" x14ac:dyDescent="0.35">
      <c r="B12" s="41"/>
      <c r="C12" s="41" t="s">
        <v>339</v>
      </c>
      <c r="D12" s="42"/>
      <c r="E12" s="6"/>
      <c r="F12" s="6"/>
      <c r="G12" s="6"/>
      <c r="H12" s="6"/>
      <c r="I12" s="6"/>
      <c r="J12" s="6"/>
      <c r="K12" s="6"/>
      <c r="L12" s="6"/>
      <c r="M12" s="6"/>
      <c r="N12" s="6"/>
      <c r="O12" s="6"/>
      <c r="P12" s="6"/>
      <c r="Q12" s="43">
        <f t="shared" si="1"/>
        <v>0</v>
      </c>
      <c r="R12" s="25"/>
    </row>
    <row r="13" spans="2:18" ht="14.4" thickBot="1" x14ac:dyDescent="0.35">
      <c r="B13" s="41"/>
      <c r="C13" s="41" t="s">
        <v>340</v>
      </c>
      <c r="D13" s="42"/>
      <c r="E13" s="6"/>
      <c r="F13" s="6"/>
      <c r="G13" s="6"/>
      <c r="H13" s="6"/>
      <c r="I13" s="6"/>
      <c r="J13" s="6"/>
      <c r="K13" s="6"/>
      <c r="L13" s="6"/>
      <c r="M13" s="6"/>
      <c r="N13" s="6"/>
      <c r="O13" s="6"/>
      <c r="P13" s="6"/>
      <c r="Q13" s="43">
        <f t="shared" si="1"/>
        <v>0</v>
      </c>
      <c r="R13" s="25"/>
    </row>
    <row r="14" spans="2:18" ht="14.4" thickBot="1" x14ac:dyDescent="0.35">
      <c r="B14" s="41"/>
      <c r="C14" s="41" t="s">
        <v>341</v>
      </c>
      <c r="D14" s="42"/>
      <c r="E14" s="6"/>
      <c r="F14" s="6"/>
      <c r="G14" s="6"/>
      <c r="H14" s="6"/>
      <c r="I14" s="6"/>
      <c r="J14" s="6"/>
      <c r="K14" s="6"/>
      <c r="L14" s="6"/>
      <c r="M14" s="6"/>
      <c r="N14" s="6"/>
      <c r="O14" s="6"/>
      <c r="P14" s="6"/>
      <c r="Q14" s="43">
        <f t="shared" si="1"/>
        <v>0</v>
      </c>
      <c r="R14" s="25"/>
    </row>
    <row r="15" spans="2:18" ht="14.4" thickBot="1" x14ac:dyDescent="0.35">
      <c r="B15" s="41"/>
      <c r="C15" s="41" t="s">
        <v>342</v>
      </c>
      <c r="D15" s="42"/>
      <c r="E15" s="6"/>
      <c r="F15" s="6"/>
      <c r="G15" s="6"/>
      <c r="H15" s="6"/>
      <c r="I15" s="6"/>
      <c r="J15" s="6"/>
      <c r="K15" s="6"/>
      <c r="L15" s="6"/>
      <c r="M15" s="6"/>
      <c r="N15" s="6"/>
      <c r="O15" s="6"/>
      <c r="P15" s="6"/>
      <c r="Q15" s="43">
        <f t="shared" si="1"/>
        <v>0</v>
      </c>
      <c r="R15" s="25"/>
    </row>
    <row r="16" spans="2:18" ht="14.4" thickBot="1" x14ac:dyDescent="0.35">
      <c r="B16" s="41"/>
      <c r="C16" s="41" t="s">
        <v>343</v>
      </c>
      <c r="D16" s="42"/>
      <c r="E16" s="6"/>
      <c r="F16" s="6"/>
      <c r="G16" s="6"/>
      <c r="H16" s="6"/>
      <c r="I16" s="6"/>
      <c r="J16" s="6"/>
      <c r="K16" s="6"/>
      <c r="L16" s="6"/>
      <c r="M16" s="6"/>
      <c r="N16" s="6"/>
      <c r="O16" s="6"/>
      <c r="P16" s="6"/>
      <c r="Q16" s="43">
        <f t="shared" si="1"/>
        <v>0</v>
      </c>
      <c r="R16" s="25"/>
    </row>
    <row r="17" spans="2:18" ht="14.4" thickBot="1" x14ac:dyDescent="0.35">
      <c r="B17" s="41"/>
      <c r="C17" s="41" t="s">
        <v>344</v>
      </c>
      <c r="D17" s="42"/>
      <c r="E17" s="6"/>
      <c r="F17" s="6"/>
      <c r="G17" s="6"/>
      <c r="H17" s="6"/>
      <c r="I17" s="6"/>
      <c r="J17" s="6"/>
      <c r="K17" s="6"/>
      <c r="L17" s="6"/>
      <c r="M17" s="6"/>
      <c r="N17" s="6"/>
      <c r="O17" s="6"/>
      <c r="P17" s="6"/>
      <c r="Q17" s="43">
        <f t="shared" si="1"/>
        <v>0</v>
      </c>
      <c r="R17" s="25"/>
    </row>
    <row r="18" spans="2:18" ht="14.4" thickBot="1" x14ac:dyDescent="0.35">
      <c r="B18" s="41"/>
      <c r="C18" s="41" t="s">
        <v>345</v>
      </c>
      <c r="D18" s="42"/>
      <c r="E18" s="6"/>
      <c r="F18" s="6"/>
      <c r="G18" s="6"/>
      <c r="H18" s="6"/>
      <c r="I18" s="6"/>
      <c r="J18" s="6"/>
      <c r="K18" s="6"/>
      <c r="L18" s="6"/>
      <c r="M18" s="6"/>
      <c r="N18" s="6"/>
      <c r="O18" s="6"/>
      <c r="P18" s="6"/>
      <c r="Q18" s="43">
        <f t="shared" si="1"/>
        <v>0</v>
      </c>
      <c r="R18" s="25"/>
    </row>
    <row r="19" spans="2:18" ht="14.4" thickBot="1" x14ac:dyDescent="0.35">
      <c r="B19" s="41"/>
      <c r="C19" s="41" t="s">
        <v>346</v>
      </c>
      <c r="D19" s="42"/>
      <c r="E19" s="6"/>
      <c r="F19" s="6"/>
      <c r="G19" s="6"/>
      <c r="H19" s="6"/>
      <c r="I19" s="6"/>
      <c r="J19" s="6"/>
      <c r="K19" s="6"/>
      <c r="L19" s="6"/>
      <c r="M19" s="6"/>
      <c r="N19" s="6"/>
      <c r="O19" s="6"/>
      <c r="P19" s="6"/>
      <c r="Q19" s="43">
        <f t="shared" si="1"/>
        <v>0</v>
      </c>
      <c r="R19" s="25"/>
    </row>
    <row r="20" spans="2:18" ht="14.4" thickBot="1" x14ac:dyDescent="0.35">
      <c r="B20" s="41"/>
      <c r="C20" s="41" t="s">
        <v>347</v>
      </c>
      <c r="D20" s="42"/>
      <c r="E20" s="6"/>
      <c r="F20" s="6"/>
      <c r="G20" s="6"/>
      <c r="H20" s="6"/>
      <c r="I20" s="6"/>
      <c r="J20" s="6"/>
      <c r="K20" s="6"/>
      <c r="L20" s="6"/>
      <c r="M20" s="6"/>
      <c r="N20" s="6"/>
      <c r="O20" s="6"/>
      <c r="P20" s="6"/>
      <c r="Q20" s="43">
        <f t="shared" si="1"/>
        <v>0</v>
      </c>
      <c r="R20" s="25"/>
    </row>
    <row r="21" spans="2:18" ht="14.4" thickBot="1" x14ac:dyDescent="0.35">
      <c r="B21" s="41"/>
      <c r="C21" s="41" t="s">
        <v>348</v>
      </c>
      <c r="D21" s="42"/>
      <c r="E21" s="6"/>
      <c r="F21" s="6"/>
      <c r="G21" s="6"/>
      <c r="H21" s="6"/>
      <c r="I21" s="6"/>
      <c r="J21" s="6"/>
      <c r="K21" s="6"/>
      <c r="L21" s="6"/>
      <c r="M21" s="6"/>
      <c r="N21" s="6"/>
      <c r="O21" s="6"/>
      <c r="P21" s="6"/>
      <c r="Q21" s="43">
        <f t="shared" si="1"/>
        <v>0</v>
      </c>
      <c r="R21" s="25"/>
    </row>
    <row r="22" spans="2:18" ht="14.4" thickBot="1" x14ac:dyDescent="0.35">
      <c r="B22" s="41"/>
      <c r="C22" s="41" t="s">
        <v>349</v>
      </c>
      <c r="D22" s="42"/>
      <c r="E22" s="6"/>
      <c r="F22" s="6"/>
      <c r="G22" s="6"/>
      <c r="H22" s="6"/>
      <c r="I22" s="6"/>
      <c r="J22" s="6"/>
      <c r="K22" s="6"/>
      <c r="L22" s="6"/>
      <c r="M22" s="6"/>
      <c r="N22" s="6"/>
      <c r="O22" s="6"/>
      <c r="P22" s="6"/>
      <c r="Q22" s="43">
        <f t="shared" si="1"/>
        <v>0</v>
      </c>
      <c r="R22" s="25"/>
    </row>
    <row r="23" spans="2:18" ht="14.4" thickBot="1" x14ac:dyDescent="0.35">
      <c r="B23" s="41"/>
      <c r="C23" s="41" t="s">
        <v>350</v>
      </c>
      <c r="D23" s="42"/>
      <c r="E23" s="6"/>
      <c r="F23" s="6"/>
      <c r="G23" s="6"/>
      <c r="H23" s="6"/>
      <c r="I23" s="6"/>
      <c r="J23" s="6"/>
      <c r="K23" s="6"/>
      <c r="L23" s="6"/>
      <c r="M23" s="6"/>
      <c r="N23" s="6"/>
      <c r="O23" s="6"/>
      <c r="P23" s="6"/>
      <c r="Q23" s="43">
        <f t="shared" si="1"/>
        <v>0</v>
      </c>
      <c r="R23" s="25"/>
    </row>
    <row r="24" spans="2:18" ht="14.4" thickBot="1" x14ac:dyDescent="0.35">
      <c r="B24" s="41"/>
      <c r="C24" s="41" t="s">
        <v>351</v>
      </c>
      <c r="D24" s="42"/>
      <c r="E24" s="6"/>
      <c r="F24" s="6"/>
      <c r="G24" s="6"/>
      <c r="H24" s="6"/>
      <c r="I24" s="6"/>
      <c r="J24" s="6"/>
      <c r="K24" s="6"/>
      <c r="L24" s="6"/>
      <c r="M24" s="6"/>
      <c r="N24" s="6"/>
      <c r="O24" s="6"/>
      <c r="P24" s="6"/>
      <c r="Q24" s="43">
        <f t="shared" si="1"/>
        <v>0</v>
      </c>
      <c r="R24" s="25"/>
    </row>
    <row r="25" spans="2:18" ht="14.4" thickBot="1" x14ac:dyDescent="0.35">
      <c r="B25" s="41"/>
      <c r="C25" s="41" t="s">
        <v>352</v>
      </c>
      <c r="D25" s="42"/>
      <c r="E25" s="6"/>
      <c r="F25" s="6"/>
      <c r="G25" s="6"/>
      <c r="H25" s="6"/>
      <c r="I25" s="6"/>
      <c r="J25" s="6"/>
      <c r="K25" s="6"/>
      <c r="L25" s="6"/>
      <c r="M25" s="6"/>
      <c r="N25" s="6"/>
      <c r="O25" s="6"/>
      <c r="P25" s="6"/>
      <c r="Q25" s="43">
        <f t="shared" si="1"/>
        <v>0</v>
      </c>
      <c r="R25" s="25"/>
    </row>
    <row r="26" spans="2:18" ht="14.4" thickBot="1" x14ac:dyDescent="0.35">
      <c r="B26" s="41"/>
      <c r="C26" s="41"/>
      <c r="D26" s="42"/>
      <c r="E26" s="6"/>
      <c r="F26" s="6"/>
      <c r="G26" s="6"/>
      <c r="H26" s="6"/>
      <c r="I26" s="6"/>
      <c r="J26" s="6"/>
      <c r="K26" s="6"/>
      <c r="L26" s="6"/>
      <c r="M26" s="6"/>
      <c r="N26" s="6"/>
      <c r="O26" s="6"/>
      <c r="P26" s="6"/>
      <c r="Q26" s="43">
        <f t="shared" si="1"/>
        <v>0</v>
      </c>
      <c r="R26" s="25"/>
    </row>
    <row r="27" spans="2:18" ht="14.4" thickBot="1" x14ac:dyDescent="0.35">
      <c r="B27" s="41"/>
      <c r="C27" s="41"/>
      <c r="D27" s="42"/>
      <c r="E27" s="6"/>
      <c r="F27" s="6"/>
      <c r="G27" s="6"/>
      <c r="H27" s="6"/>
      <c r="I27" s="6"/>
      <c r="J27" s="6"/>
      <c r="K27" s="6"/>
      <c r="L27" s="6"/>
      <c r="M27" s="6"/>
      <c r="N27" s="6"/>
      <c r="O27" s="6"/>
      <c r="P27" s="6"/>
      <c r="Q27" s="43">
        <f t="shared" si="1"/>
        <v>0</v>
      </c>
      <c r="R27" s="25"/>
    </row>
    <row r="28" spans="2:18" ht="14.4" thickBot="1" x14ac:dyDescent="0.35">
      <c r="B28" s="41"/>
      <c r="C28" s="41"/>
      <c r="D28" s="42"/>
      <c r="E28" s="6"/>
      <c r="F28" s="6"/>
      <c r="G28" s="6"/>
      <c r="H28" s="6"/>
      <c r="I28" s="6"/>
      <c r="J28" s="6"/>
      <c r="K28" s="6"/>
      <c r="L28" s="6"/>
      <c r="M28" s="6"/>
      <c r="N28" s="6"/>
      <c r="O28" s="6"/>
      <c r="P28" s="6"/>
      <c r="Q28" s="43">
        <f t="shared" si="1"/>
        <v>0</v>
      </c>
      <c r="R28" s="25"/>
    </row>
    <row r="29" spans="2:18" ht="14.4" thickBot="1" x14ac:dyDescent="0.35">
      <c r="B29" s="41"/>
      <c r="C29" s="41"/>
      <c r="D29" s="42"/>
      <c r="E29" s="6"/>
      <c r="F29" s="6"/>
      <c r="G29" s="6"/>
      <c r="H29" s="6"/>
      <c r="I29" s="6"/>
      <c r="J29" s="6"/>
      <c r="K29" s="6"/>
      <c r="L29" s="6"/>
      <c r="M29" s="6"/>
      <c r="N29" s="6"/>
      <c r="O29" s="6"/>
      <c r="P29" s="6"/>
      <c r="Q29" s="43">
        <f t="shared" si="1"/>
        <v>0</v>
      </c>
      <c r="R29" s="25"/>
    </row>
    <row r="30" spans="2:18" ht="14.4" thickBot="1" x14ac:dyDescent="0.35">
      <c r="B30" s="41"/>
      <c r="C30" s="41"/>
      <c r="D30" s="4"/>
      <c r="E30" s="6"/>
      <c r="F30" s="6"/>
      <c r="G30" s="6"/>
      <c r="H30" s="6"/>
      <c r="I30" s="6"/>
      <c r="J30" s="6"/>
      <c r="K30" s="6"/>
      <c r="L30" s="6"/>
      <c r="M30" s="6"/>
      <c r="N30" s="6"/>
      <c r="O30" s="6"/>
      <c r="P30" s="6"/>
      <c r="Q30" s="43">
        <f t="shared" si="1"/>
        <v>0</v>
      </c>
      <c r="R30" s="25"/>
    </row>
    <row r="31" spans="2:18" ht="14.4" thickBot="1" x14ac:dyDescent="0.35">
      <c r="B31" s="44"/>
      <c r="C31" s="41"/>
      <c r="D31" s="42"/>
      <c r="E31" s="6"/>
      <c r="F31" s="6"/>
      <c r="G31" s="6"/>
      <c r="H31" s="6"/>
      <c r="I31" s="6"/>
      <c r="J31" s="6"/>
      <c r="K31" s="6"/>
      <c r="L31" s="6"/>
      <c r="M31" s="6"/>
      <c r="N31" s="6"/>
      <c r="O31" s="6"/>
      <c r="P31" s="6"/>
      <c r="Q31" s="43">
        <f t="shared" si="1"/>
        <v>0</v>
      </c>
      <c r="R31" s="25"/>
    </row>
    <row r="32" spans="2:18" ht="14.4" thickBot="1" x14ac:dyDescent="0.35">
      <c r="B32" s="44"/>
      <c r="C32" s="41"/>
      <c r="D32" s="42"/>
      <c r="E32" s="6"/>
      <c r="F32" s="6"/>
      <c r="G32" s="6"/>
      <c r="H32" s="6"/>
      <c r="I32" s="6"/>
      <c r="J32" s="6"/>
      <c r="K32" s="6"/>
      <c r="L32" s="6"/>
      <c r="M32" s="6"/>
      <c r="N32" s="6"/>
      <c r="O32" s="6"/>
      <c r="P32" s="6"/>
      <c r="Q32" s="43">
        <f t="shared" si="1"/>
        <v>0</v>
      </c>
      <c r="R32" s="25"/>
    </row>
    <row r="33" spans="2:18" ht="14.4" thickBot="1" x14ac:dyDescent="0.35">
      <c r="B33" s="41"/>
      <c r="C33" s="41"/>
      <c r="D33" s="42"/>
      <c r="E33" s="6"/>
      <c r="F33" s="6"/>
      <c r="G33" s="6"/>
      <c r="H33" s="6"/>
      <c r="I33" s="6"/>
      <c r="J33" s="6"/>
      <c r="K33" s="6"/>
      <c r="L33" s="6"/>
      <c r="M33" s="6"/>
      <c r="N33" s="6"/>
      <c r="O33" s="6"/>
      <c r="P33" s="6"/>
      <c r="Q33" s="43">
        <f t="shared" si="1"/>
        <v>0</v>
      </c>
      <c r="R33" s="25"/>
    </row>
    <row r="34" spans="2:18" ht="14.4" thickBot="1" x14ac:dyDescent="0.35">
      <c r="B34" s="41"/>
      <c r="C34" s="41"/>
      <c r="D34" s="42"/>
      <c r="E34" s="6"/>
      <c r="F34" s="6"/>
      <c r="G34" s="6"/>
      <c r="H34" s="6"/>
      <c r="I34" s="6"/>
      <c r="J34" s="6"/>
      <c r="K34" s="6"/>
      <c r="L34" s="6"/>
      <c r="M34" s="6"/>
      <c r="N34" s="6"/>
      <c r="O34" s="6"/>
      <c r="P34" s="6"/>
      <c r="Q34" s="43">
        <f t="shared" si="1"/>
        <v>0</v>
      </c>
      <c r="R34" s="25"/>
    </row>
    <row r="35" spans="2:18" ht="14.4" thickBot="1" x14ac:dyDescent="0.35">
      <c r="B35" s="41"/>
      <c r="C35" s="41"/>
      <c r="D35" s="42"/>
      <c r="E35" s="6"/>
      <c r="F35" s="6"/>
      <c r="G35" s="6"/>
      <c r="H35" s="6"/>
      <c r="I35" s="6"/>
      <c r="J35" s="6"/>
      <c r="K35" s="6"/>
      <c r="L35" s="6"/>
      <c r="M35" s="6"/>
      <c r="N35" s="6"/>
      <c r="O35" s="6"/>
      <c r="P35" s="6"/>
      <c r="Q35" s="43">
        <f t="shared" si="1"/>
        <v>0</v>
      </c>
      <c r="R35" s="25"/>
    </row>
    <row r="36" spans="2:18" ht="14.4" thickBot="1" x14ac:dyDescent="0.35">
      <c r="B36" s="41"/>
      <c r="C36" s="41"/>
      <c r="D36" s="42"/>
      <c r="E36" s="6"/>
      <c r="F36" s="6"/>
      <c r="G36" s="6"/>
      <c r="H36" s="6"/>
      <c r="I36" s="6"/>
      <c r="J36" s="6"/>
      <c r="K36" s="6"/>
      <c r="L36" s="6"/>
      <c r="M36" s="6"/>
      <c r="N36" s="6"/>
      <c r="O36" s="6"/>
      <c r="P36" s="6"/>
      <c r="Q36" s="43">
        <f t="shared" si="1"/>
        <v>0</v>
      </c>
      <c r="R36" s="25"/>
    </row>
    <row r="37" spans="2:18" ht="14.4" thickBot="1" x14ac:dyDescent="0.35">
      <c r="B37" s="41"/>
      <c r="C37" s="41"/>
      <c r="D37" s="42"/>
      <c r="E37" s="6"/>
      <c r="F37" s="6"/>
      <c r="G37" s="6"/>
      <c r="H37" s="6"/>
      <c r="I37" s="6"/>
      <c r="J37" s="6"/>
      <c r="K37" s="6"/>
      <c r="L37" s="6"/>
      <c r="M37" s="6"/>
      <c r="N37" s="6"/>
      <c r="O37" s="6"/>
      <c r="P37" s="6"/>
      <c r="Q37" s="43">
        <f t="shared" si="1"/>
        <v>0</v>
      </c>
      <c r="R37" s="25"/>
    </row>
    <row r="38" spans="2:18" ht="14.4" thickBot="1" x14ac:dyDescent="0.35">
      <c r="B38" s="41"/>
      <c r="C38" s="41"/>
      <c r="D38" s="42"/>
      <c r="E38" s="6"/>
      <c r="F38" s="6"/>
      <c r="G38" s="6"/>
      <c r="H38" s="6"/>
      <c r="I38" s="6"/>
      <c r="J38" s="6"/>
      <c r="K38" s="6"/>
      <c r="L38" s="6"/>
      <c r="M38" s="6"/>
      <c r="N38" s="6"/>
      <c r="O38" s="6"/>
      <c r="P38" s="6"/>
      <c r="Q38" s="43">
        <f t="shared" si="1"/>
        <v>0</v>
      </c>
      <c r="R38" s="25"/>
    </row>
    <row r="39" spans="2:18" ht="14.4" thickBot="1" x14ac:dyDescent="0.35">
      <c r="B39" s="41"/>
      <c r="C39" s="41"/>
      <c r="D39" s="42"/>
      <c r="E39" s="6"/>
      <c r="F39" s="6"/>
      <c r="G39" s="6"/>
      <c r="H39" s="6"/>
      <c r="I39" s="6"/>
      <c r="J39" s="6"/>
      <c r="K39" s="6"/>
      <c r="L39" s="6"/>
      <c r="M39" s="6"/>
      <c r="N39" s="6"/>
      <c r="O39" s="6"/>
      <c r="P39" s="6"/>
      <c r="Q39" s="43">
        <f t="shared" si="1"/>
        <v>0</v>
      </c>
      <c r="R39" s="25"/>
    </row>
    <row r="40" spans="2:18" ht="14.4" thickBot="1" x14ac:dyDescent="0.35">
      <c r="B40" s="41"/>
      <c r="C40" s="41"/>
      <c r="D40" s="42"/>
      <c r="E40" s="6"/>
      <c r="F40" s="6"/>
      <c r="G40" s="6"/>
      <c r="H40" s="6"/>
      <c r="I40" s="6"/>
      <c r="J40" s="6"/>
      <c r="K40" s="6"/>
      <c r="L40" s="6"/>
      <c r="M40" s="6"/>
      <c r="N40" s="6"/>
      <c r="O40" s="6"/>
      <c r="P40" s="6"/>
      <c r="Q40" s="43">
        <f t="shared" si="1"/>
        <v>0</v>
      </c>
      <c r="R40" s="25"/>
    </row>
    <row r="41" spans="2:18" ht="14.4" thickBot="1" x14ac:dyDescent="0.35">
      <c r="B41" s="41"/>
      <c r="C41" s="41"/>
      <c r="D41" s="42"/>
      <c r="E41" s="6"/>
      <c r="F41" s="6"/>
      <c r="G41" s="6"/>
      <c r="H41" s="6"/>
      <c r="I41" s="6"/>
      <c r="J41" s="6"/>
      <c r="K41" s="6"/>
      <c r="L41" s="6"/>
      <c r="M41" s="6"/>
      <c r="N41" s="6"/>
      <c r="O41" s="6"/>
      <c r="P41" s="6"/>
      <c r="Q41" s="43">
        <f t="shared" si="1"/>
        <v>0</v>
      </c>
      <c r="R41" s="25"/>
    </row>
    <row r="42" spans="2:18" ht="14.4" thickBot="1" x14ac:dyDescent="0.35">
      <c r="B42" s="44"/>
      <c r="C42" s="44"/>
      <c r="D42" s="45"/>
      <c r="E42" s="6"/>
      <c r="F42" s="46"/>
      <c r="G42" s="46"/>
      <c r="H42" s="46"/>
      <c r="I42" s="46"/>
      <c r="J42" s="46"/>
      <c r="K42" s="46"/>
      <c r="L42" s="46"/>
      <c r="M42" s="46"/>
      <c r="N42" s="46"/>
      <c r="O42" s="46"/>
      <c r="P42" s="47"/>
      <c r="Q42" s="43">
        <f t="shared" si="1"/>
        <v>0</v>
      </c>
      <c r="R42" s="25"/>
    </row>
    <row r="43" spans="2:18" ht="14.4" thickBot="1" x14ac:dyDescent="0.35">
      <c r="B43" s="44"/>
      <c r="C43" s="44"/>
      <c r="D43" s="45"/>
      <c r="E43" s="6"/>
      <c r="F43" s="46"/>
      <c r="G43" s="46"/>
      <c r="H43" s="46"/>
      <c r="I43" s="46"/>
      <c r="J43" s="46"/>
      <c r="K43" s="46"/>
      <c r="L43" s="46"/>
      <c r="M43" s="46"/>
      <c r="N43" s="46"/>
      <c r="O43" s="46"/>
      <c r="P43" s="47"/>
      <c r="Q43" s="43">
        <f t="shared" si="1"/>
        <v>0</v>
      </c>
      <c r="R43" s="25"/>
    </row>
    <row r="44" spans="2:18" ht="14.4" thickBot="1" x14ac:dyDescent="0.35">
      <c r="B44" s="44"/>
      <c r="C44" s="44"/>
      <c r="D44" s="45"/>
      <c r="E44" s="6"/>
      <c r="F44" s="46"/>
      <c r="G44" s="46"/>
      <c r="H44" s="46"/>
      <c r="I44" s="46"/>
      <c r="J44" s="46"/>
      <c r="K44" s="46"/>
      <c r="L44" s="46"/>
      <c r="M44" s="46"/>
      <c r="N44" s="46"/>
      <c r="O44" s="46"/>
      <c r="P44" s="47"/>
      <c r="Q44" s="43">
        <f t="shared" si="1"/>
        <v>0</v>
      </c>
      <c r="R44" s="25"/>
    </row>
    <row r="45" spans="2:18" ht="14.4" thickBot="1" x14ac:dyDescent="0.35">
      <c r="B45" s="44"/>
      <c r="C45" s="44"/>
      <c r="D45" s="45"/>
      <c r="E45" s="6"/>
      <c r="F45" s="46"/>
      <c r="G45" s="46"/>
      <c r="H45" s="46"/>
      <c r="I45" s="46"/>
      <c r="J45" s="46"/>
      <c r="K45" s="46"/>
      <c r="L45" s="46"/>
      <c r="M45" s="46"/>
      <c r="N45" s="46"/>
      <c r="O45" s="46"/>
      <c r="P45" s="47"/>
      <c r="Q45" s="43">
        <f t="shared" si="1"/>
        <v>0</v>
      </c>
      <c r="R45" s="25"/>
    </row>
    <row r="46" spans="2:18" ht="14.4" thickBot="1" x14ac:dyDescent="0.35">
      <c r="B46" s="44"/>
      <c r="C46" s="44"/>
      <c r="D46" s="45"/>
      <c r="E46" s="6"/>
      <c r="F46" s="46"/>
      <c r="G46" s="46"/>
      <c r="H46" s="46"/>
      <c r="I46" s="46"/>
      <c r="J46" s="46"/>
      <c r="K46" s="46"/>
      <c r="L46" s="46"/>
      <c r="M46" s="46"/>
      <c r="N46" s="46"/>
      <c r="O46" s="46"/>
      <c r="P46" s="47"/>
      <c r="Q46" s="43">
        <f t="shared" si="1"/>
        <v>0</v>
      </c>
      <c r="R46" s="25"/>
    </row>
    <row r="47" spans="2:18" ht="14.4" thickBot="1" x14ac:dyDescent="0.35">
      <c r="B47" s="44"/>
      <c r="C47" s="44"/>
      <c r="D47" s="45"/>
      <c r="E47" s="6"/>
      <c r="F47" s="46"/>
      <c r="G47" s="46"/>
      <c r="H47" s="46"/>
      <c r="I47" s="46"/>
      <c r="J47" s="46"/>
      <c r="K47" s="46"/>
      <c r="L47" s="46"/>
      <c r="M47" s="46"/>
      <c r="N47" s="46"/>
      <c r="O47" s="46"/>
      <c r="P47" s="47"/>
      <c r="Q47" s="43">
        <f t="shared" si="1"/>
        <v>0</v>
      </c>
      <c r="R47" s="25"/>
    </row>
    <row r="48" spans="2:18" ht="14.4" thickBot="1" x14ac:dyDescent="0.35">
      <c r="B48" s="44"/>
      <c r="C48" s="44"/>
      <c r="D48" s="45"/>
      <c r="E48" s="6"/>
      <c r="F48" s="46"/>
      <c r="G48" s="46"/>
      <c r="H48" s="46"/>
      <c r="I48" s="46"/>
      <c r="J48" s="46"/>
      <c r="K48" s="46"/>
      <c r="L48" s="46"/>
      <c r="M48" s="46"/>
      <c r="N48" s="46"/>
      <c r="O48" s="46"/>
      <c r="P48" s="47"/>
      <c r="Q48" s="43">
        <f t="shared" si="1"/>
        <v>0</v>
      </c>
      <c r="R48" s="25"/>
    </row>
    <row r="49" spans="2:18" ht="14.4" thickBot="1" x14ac:dyDescent="0.35">
      <c r="B49" s="44"/>
      <c r="C49" s="44"/>
      <c r="D49" s="45"/>
      <c r="E49" s="6"/>
      <c r="F49" s="46"/>
      <c r="G49" s="46"/>
      <c r="H49" s="46"/>
      <c r="I49" s="46"/>
      <c r="J49" s="46"/>
      <c r="K49" s="46"/>
      <c r="L49" s="46"/>
      <c r="M49" s="46"/>
      <c r="N49" s="46"/>
      <c r="O49" s="46"/>
      <c r="P49" s="47"/>
      <c r="Q49" s="43">
        <f t="shared" si="1"/>
        <v>0</v>
      </c>
      <c r="R49" s="25"/>
    </row>
    <row r="50" spans="2:18" ht="14.4" thickBot="1" x14ac:dyDescent="0.35">
      <c r="B50" s="44"/>
      <c r="C50" s="44"/>
      <c r="D50" s="45"/>
      <c r="E50" s="6"/>
      <c r="F50" s="46"/>
      <c r="G50" s="46"/>
      <c r="H50" s="46"/>
      <c r="I50" s="46"/>
      <c r="J50" s="46"/>
      <c r="K50" s="46"/>
      <c r="L50" s="46"/>
      <c r="M50" s="46"/>
      <c r="N50" s="46"/>
      <c r="O50" s="46"/>
      <c r="P50" s="47"/>
      <c r="Q50" s="43">
        <f t="shared" si="1"/>
        <v>0</v>
      </c>
      <c r="R50" s="25"/>
    </row>
    <row r="51" spans="2:18" ht="14.4" thickBot="1" x14ac:dyDescent="0.35">
      <c r="B51" s="44"/>
      <c r="C51" s="44"/>
      <c r="D51" s="45"/>
      <c r="E51" s="6"/>
      <c r="F51" s="46"/>
      <c r="G51" s="46"/>
      <c r="H51" s="46"/>
      <c r="I51" s="46"/>
      <c r="J51" s="46"/>
      <c r="K51" s="46"/>
      <c r="L51" s="46"/>
      <c r="M51" s="46"/>
      <c r="N51" s="46"/>
      <c r="O51" s="46"/>
      <c r="P51" s="47"/>
      <c r="Q51" s="43">
        <f t="shared" si="1"/>
        <v>0</v>
      </c>
      <c r="R51" s="25"/>
    </row>
    <row r="52" spans="2:18" ht="14.4" hidden="1" outlineLevel="1" thickBot="1" x14ac:dyDescent="0.35">
      <c r="B52" s="44"/>
      <c r="C52" s="44"/>
      <c r="D52" s="44"/>
      <c r="E52" s="46"/>
      <c r="F52" s="46"/>
      <c r="G52" s="46"/>
      <c r="H52" s="46"/>
      <c r="I52" s="46"/>
      <c r="J52" s="46"/>
      <c r="K52" s="46"/>
      <c r="L52" s="46"/>
      <c r="M52" s="46"/>
      <c r="N52" s="46"/>
      <c r="O52" s="46"/>
      <c r="P52" s="47"/>
      <c r="Q52" s="43">
        <f t="shared" si="1"/>
        <v>0</v>
      </c>
      <c r="R52" s="25"/>
    </row>
    <row r="53" spans="2:18" ht="14.4" hidden="1" outlineLevel="1" thickBot="1" x14ac:dyDescent="0.35">
      <c r="B53" s="44"/>
      <c r="C53" s="44"/>
      <c r="D53" s="44"/>
      <c r="E53" s="46"/>
      <c r="F53" s="46"/>
      <c r="G53" s="46"/>
      <c r="H53" s="46"/>
      <c r="I53" s="46"/>
      <c r="J53" s="46"/>
      <c r="K53" s="46"/>
      <c r="L53" s="46"/>
      <c r="M53" s="46"/>
      <c r="N53" s="46"/>
      <c r="O53" s="46"/>
      <c r="P53" s="47"/>
      <c r="Q53" s="43">
        <f t="shared" si="1"/>
        <v>0</v>
      </c>
      <c r="R53" s="25"/>
    </row>
    <row r="54" spans="2:18" ht="14.4" hidden="1" outlineLevel="1" thickBot="1" x14ac:dyDescent="0.35">
      <c r="B54" s="44"/>
      <c r="C54" s="44"/>
      <c r="D54" s="44"/>
      <c r="E54" s="46"/>
      <c r="F54" s="46"/>
      <c r="G54" s="46"/>
      <c r="H54" s="46"/>
      <c r="I54" s="46"/>
      <c r="J54" s="46"/>
      <c r="K54" s="46"/>
      <c r="L54" s="46"/>
      <c r="M54" s="46"/>
      <c r="N54" s="46"/>
      <c r="O54" s="46"/>
      <c r="P54" s="47"/>
      <c r="Q54" s="43">
        <f t="shared" si="1"/>
        <v>0</v>
      </c>
      <c r="R54" s="25"/>
    </row>
    <row r="55" spans="2:18" ht="14.4" hidden="1" outlineLevel="1" thickBot="1" x14ac:dyDescent="0.35">
      <c r="B55" s="44"/>
      <c r="C55" s="44"/>
      <c r="D55" s="44"/>
      <c r="E55" s="46"/>
      <c r="F55" s="46"/>
      <c r="G55" s="46"/>
      <c r="H55" s="46"/>
      <c r="I55" s="46"/>
      <c r="J55" s="46"/>
      <c r="K55" s="46"/>
      <c r="L55" s="46"/>
      <c r="M55" s="46"/>
      <c r="N55" s="46"/>
      <c r="O55" s="46"/>
      <c r="P55" s="47"/>
      <c r="Q55" s="43">
        <f t="shared" si="1"/>
        <v>0</v>
      </c>
      <c r="R55" s="25"/>
    </row>
    <row r="56" spans="2:18" ht="14.4" hidden="1" outlineLevel="1" thickBot="1" x14ac:dyDescent="0.35">
      <c r="B56" s="44"/>
      <c r="C56" s="44"/>
      <c r="D56" s="44"/>
      <c r="E56" s="46"/>
      <c r="F56" s="46"/>
      <c r="G56" s="46"/>
      <c r="H56" s="46"/>
      <c r="I56" s="46"/>
      <c r="J56" s="46"/>
      <c r="K56" s="46"/>
      <c r="L56" s="46"/>
      <c r="M56" s="46"/>
      <c r="N56" s="46"/>
      <c r="O56" s="46"/>
      <c r="P56" s="47"/>
      <c r="Q56" s="43">
        <f t="shared" si="1"/>
        <v>0</v>
      </c>
      <c r="R56" s="25"/>
    </row>
    <row r="57" spans="2:18" ht="14.4" hidden="1" outlineLevel="1" thickBot="1" x14ac:dyDescent="0.35">
      <c r="B57" s="44"/>
      <c r="C57" s="44"/>
      <c r="D57" s="44"/>
      <c r="E57" s="46"/>
      <c r="F57" s="46"/>
      <c r="G57" s="46"/>
      <c r="H57" s="46"/>
      <c r="I57" s="46"/>
      <c r="J57" s="46"/>
      <c r="K57" s="46"/>
      <c r="L57" s="46"/>
      <c r="M57" s="46"/>
      <c r="N57" s="46"/>
      <c r="O57" s="46"/>
      <c r="P57" s="47"/>
      <c r="Q57" s="43">
        <f t="shared" si="1"/>
        <v>0</v>
      </c>
      <c r="R57" s="25"/>
    </row>
    <row r="58" spans="2:18" ht="14.4" hidden="1" outlineLevel="1" thickBot="1" x14ac:dyDescent="0.35">
      <c r="B58" s="44"/>
      <c r="C58" s="44"/>
      <c r="D58" s="44"/>
      <c r="E58" s="46"/>
      <c r="F58" s="46"/>
      <c r="G58" s="46"/>
      <c r="H58" s="46"/>
      <c r="I58" s="46"/>
      <c r="J58" s="46"/>
      <c r="K58" s="46"/>
      <c r="L58" s="46"/>
      <c r="M58" s="46"/>
      <c r="N58" s="46"/>
      <c r="O58" s="46"/>
      <c r="P58" s="47"/>
      <c r="Q58" s="43">
        <f t="shared" si="1"/>
        <v>0</v>
      </c>
      <c r="R58" s="25"/>
    </row>
    <row r="59" spans="2:18" ht="14.4" hidden="1" outlineLevel="1" thickBot="1" x14ac:dyDescent="0.35">
      <c r="B59" s="44"/>
      <c r="C59" s="44"/>
      <c r="D59" s="44"/>
      <c r="E59" s="46"/>
      <c r="F59" s="46"/>
      <c r="G59" s="46"/>
      <c r="H59" s="46"/>
      <c r="I59" s="46"/>
      <c r="J59" s="46"/>
      <c r="K59" s="46"/>
      <c r="L59" s="46"/>
      <c r="M59" s="46"/>
      <c r="N59" s="46"/>
      <c r="O59" s="46"/>
      <c r="P59" s="47"/>
      <c r="Q59" s="43">
        <f t="shared" si="1"/>
        <v>0</v>
      </c>
      <c r="R59" s="25"/>
    </row>
    <row r="60" spans="2:18" ht="14.4" hidden="1" outlineLevel="1" thickBot="1" x14ac:dyDescent="0.35">
      <c r="B60" s="44"/>
      <c r="C60" s="44"/>
      <c r="D60" s="44"/>
      <c r="E60" s="46"/>
      <c r="F60" s="46"/>
      <c r="G60" s="46"/>
      <c r="H60" s="46"/>
      <c r="I60" s="46"/>
      <c r="J60" s="46"/>
      <c r="K60" s="46"/>
      <c r="L60" s="46"/>
      <c r="M60" s="46"/>
      <c r="N60" s="46"/>
      <c r="O60" s="46"/>
      <c r="P60" s="47"/>
      <c r="Q60" s="43">
        <f t="shared" si="1"/>
        <v>0</v>
      </c>
      <c r="R60" s="25"/>
    </row>
    <row r="61" spans="2:18" ht="14.4" hidden="1" outlineLevel="1" thickBot="1" x14ac:dyDescent="0.35">
      <c r="B61" s="44"/>
      <c r="C61" s="44"/>
      <c r="D61" s="44"/>
      <c r="E61" s="46"/>
      <c r="F61" s="46"/>
      <c r="G61" s="46"/>
      <c r="H61" s="46"/>
      <c r="I61" s="46"/>
      <c r="J61" s="46"/>
      <c r="K61" s="46"/>
      <c r="L61" s="46"/>
      <c r="M61" s="46"/>
      <c r="N61" s="46"/>
      <c r="O61" s="46"/>
      <c r="P61" s="47"/>
      <c r="Q61" s="43">
        <f t="shared" si="1"/>
        <v>0</v>
      </c>
      <c r="R61" s="25"/>
    </row>
    <row r="62" spans="2:18" ht="14.4" hidden="1" outlineLevel="1" thickBot="1" x14ac:dyDescent="0.35">
      <c r="B62" s="44"/>
      <c r="C62" s="44"/>
      <c r="D62" s="44"/>
      <c r="E62" s="46"/>
      <c r="F62" s="46"/>
      <c r="G62" s="46"/>
      <c r="H62" s="46"/>
      <c r="I62" s="46"/>
      <c r="J62" s="46"/>
      <c r="K62" s="46"/>
      <c r="L62" s="46"/>
      <c r="M62" s="46"/>
      <c r="N62" s="46"/>
      <c r="O62" s="46"/>
      <c r="P62" s="47"/>
      <c r="Q62" s="43">
        <f t="shared" si="1"/>
        <v>0</v>
      </c>
      <c r="R62" s="25"/>
    </row>
    <row r="63" spans="2:18" ht="14.4" hidden="1" outlineLevel="1" thickBot="1" x14ac:dyDescent="0.35">
      <c r="B63" s="44"/>
      <c r="C63" s="44"/>
      <c r="D63" s="44"/>
      <c r="E63" s="46"/>
      <c r="F63" s="46"/>
      <c r="G63" s="46"/>
      <c r="H63" s="46"/>
      <c r="I63" s="46"/>
      <c r="J63" s="46"/>
      <c r="K63" s="46"/>
      <c r="L63" s="46"/>
      <c r="M63" s="46"/>
      <c r="N63" s="46"/>
      <c r="O63" s="46"/>
      <c r="P63" s="47"/>
      <c r="Q63" s="43">
        <f t="shared" si="1"/>
        <v>0</v>
      </c>
      <c r="R63" s="25"/>
    </row>
    <row r="64" spans="2:18" ht="14.4" hidden="1" outlineLevel="1" thickBot="1" x14ac:dyDescent="0.35">
      <c r="B64" s="44"/>
      <c r="C64" s="44"/>
      <c r="D64" s="44"/>
      <c r="E64" s="46"/>
      <c r="F64" s="46"/>
      <c r="G64" s="46"/>
      <c r="H64" s="46"/>
      <c r="I64" s="46"/>
      <c r="J64" s="46"/>
      <c r="K64" s="46"/>
      <c r="L64" s="46"/>
      <c r="M64" s="46"/>
      <c r="N64" s="46"/>
      <c r="O64" s="46"/>
      <c r="P64" s="47"/>
      <c r="Q64" s="43">
        <f t="shared" si="1"/>
        <v>0</v>
      </c>
      <c r="R64" s="25"/>
    </row>
    <row r="65" spans="2:18" ht="14.4" hidden="1" outlineLevel="1" thickBot="1" x14ac:dyDescent="0.35">
      <c r="B65" s="44"/>
      <c r="C65" s="44"/>
      <c r="D65" s="44"/>
      <c r="E65" s="46"/>
      <c r="F65" s="46"/>
      <c r="G65" s="46"/>
      <c r="H65" s="46"/>
      <c r="I65" s="46"/>
      <c r="J65" s="46"/>
      <c r="K65" s="46"/>
      <c r="L65" s="46"/>
      <c r="M65" s="46"/>
      <c r="N65" s="46"/>
      <c r="O65" s="46"/>
      <c r="P65" s="47"/>
      <c r="Q65" s="43">
        <f t="shared" si="1"/>
        <v>0</v>
      </c>
      <c r="R65" s="25"/>
    </row>
    <row r="66" spans="2:18" ht="14.4" hidden="1" outlineLevel="1" thickBot="1" x14ac:dyDescent="0.35">
      <c r="B66" s="44"/>
      <c r="C66" s="44"/>
      <c r="D66" s="44"/>
      <c r="E66" s="46"/>
      <c r="F66" s="46"/>
      <c r="G66" s="46"/>
      <c r="H66" s="46"/>
      <c r="I66" s="46"/>
      <c r="J66" s="46"/>
      <c r="K66" s="46"/>
      <c r="L66" s="46"/>
      <c r="M66" s="46"/>
      <c r="N66" s="46"/>
      <c r="O66" s="46"/>
      <c r="P66" s="47"/>
      <c r="Q66" s="43">
        <f t="shared" si="1"/>
        <v>0</v>
      </c>
      <c r="R66" s="25"/>
    </row>
    <row r="67" spans="2:18" ht="14.4" hidden="1" outlineLevel="1" thickBot="1" x14ac:dyDescent="0.35">
      <c r="B67" s="44"/>
      <c r="C67" s="44"/>
      <c r="D67" s="44"/>
      <c r="E67" s="46"/>
      <c r="F67" s="46"/>
      <c r="G67" s="46"/>
      <c r="H67" s="46"/>
      <c r="I67" s="46"/>
      <c r="J67" s="46"/>
      <c r="K67" s="46"/>
      <c r="L67" s="46"/>
      <c r="M67" s="46"/>
      <c r="N67" s="46"/>
      <c r="O67" s="46"/>
      <c r="P67" s="47"/>
      <c r="Q67" s="43">
        <f t="shared" si="1"/>
        <v>0</v>
      </c>
      <c r="R67" s="25"/>
    </row>
    <row r="68" spans="2:18" ht="14.4" hidden="1" outlineLevel="1" thickBot="1" x14ac:dyDescent="0.35">
      <c r="B68" s="44"/>
      <c r="C68" s="44"/>
      <c r="D68" s="44"/>
      <c r="E68" s="46"/>
      <c r="F68" s="46"/>
      <c r="G68" s="46"/>
      <c r="H68" s="46"/>
      <c r="I68" s="46"/>
      <c r="J68" s="46"/>
      <c r="K68" s="46"/>
      <c r="L68" s="46"/>
      <c r="M68" s="46"/>
      <c r="N68" s="46"/>
      <c r="O68" s="46"/>
      <c r="P68" s="47"/>
      <c r="Q68" s="43">
        <f t="shared" si="1"/>
        <v>0</v>
      </c>
      <c r="R68" s="25"/>
    </row>
    <row r="69" spans="2:18" ht="14.4" hidden="1" outlineLevel="1" thickBot="1" x14ac:dyDescent="0.35">
      <c r="B69" s="44"/>
      <c r="C69" s="44"/>
      <c r="D69" s="44"/>
      <c r="E69" s="46"/>
      <c r="F69" s="46"/>
      <c r="G69" s="46"/>
      <c r="H69" s="46"/>
      <c r="I69" s="46"/>
      <c r="J69" s="46"/>
      <c r="K69" s="46"/>
      <c r="L69" s="46"/>
      <c r="M69" s="46"/>
      <c r="N69" s="46"/>
      <c r="O69" s="46"/>
      <c r="P69" s="47"/>
      <c r="Q69" s="43">
        <f t="shared" si="1"/>
        <v>0</v>
      </c>
      <c r="R69" s="25"/>
    </row>
    <row r="70" spans="2:18" ht="14.4" hidden="1" outlineLevel="1" thickBot="1" x14ac:dyDescent="0.35">
      <c r="B70" s="44"/>
      <c r="C70" s="44"/>
      <c r="D70" s="44"/>
      <c r="E70" s="46"/>
      <c r="F70" s="46"/>
      <c r="G70" s="46"/>
      <c r="H70" s="46"/>
      <c r="I70" s="46"/>
      <c r="J70" s="46"/>
      <c r="K70" s="46"/>
      <c r="L70" s="46"/>
      <c r="M70" s="46"/>
      <c r="N70" s="46"/>
      <c r="O70" s="46"/>
      <c r="P70" s="47"/>
      <c r="Q70" s="43">
        <f t="shared" ref="Q70:Q101" si="2">SUM(E70:P70)</f>
        <v>0</v>
      </c>
      <c r="R70" s="25"/>
    </row>
    <row r="71" spans="2:18" ht="14.4" hidden="1" outlineLevel="1" thickBot="1" x14ac:dyDescent="0.35">
      <c r="B71" s="44"/>
      <c r="C71" s="44"/>
      <c r="D71" s="44"/>
      <c r="E71" s="46"/>
      <c r="F71" s="46"/>
      <c r="G71" s="46"/>
      <c r="H71" s="46"/>
      <c r="I71" s="46"/>
      <c r="J71" s="46"/>
      <c r="K71" s="46"/>
      <c r="L71" s="46"/>
      <c r="M71" s="46"/>
      <c r="N71" s="46"/>
      <c r="O71" s="46"/>
      <c r="P71" s="47"/>
      <c r="Q71" s="43">
        <f t="shared" si="2"/>
        <v>0</v>
      </c>
      <c r="R71" s="25"/>
    </row>
    <row r="72" spans="2:18" ht="14.4" hidden="1" outlineLevel="1" thickBot="1" x14ac:dyDescent="0.35">
      <c r="B72" s="44"/>
      <c r="C72" s="44"/>
      <c r="D72" s="44"/>
      <c r="E72" s="46"/>
      <c r="F72" s="46"/>
      <c r="G72" s="46"/>
      <c r="H72" s="46"/>
      <c r="I72" s="46"/>
      <c r="J72" s="46"/>
      <c r="K72" s="46"/>
      <c r="L72" s="46"/>
      <c r="M72" s="46"/>
      <c r="N72" s="46"/>
      <c r="O72" s="46"/>
      <c r="P72" s="47"/>
      <c r="Q72" s="43">
        <f t="shared" si="2"/>
        <v>0</v>
      </c>
      <c r="R72" s="25"/>
    </row>
    <row r="73" spans="2:18" ht="14.4" hidden="1" outlineLevel="1" thickBot="1" x14ac:dyDescent="0.35">
      <c r="B73" s="44"/>
      <c r="C73" s="44"/>
      <c r="D73" s="44"/>
      <c r="E73" s="46"/>
      <c r="F73" s="46"/>
      <c r="G73" s="46"/>
      <c r="H73" s="46"/>
      <c r="I73" s="46"/>
      <c r="J73" s="46"/>
      <c r="K73" s="46"/>
      <c r="L73" s="46"/>
      <c r="M73" s="46"/>
      <c r="N73" s="46"/>
      <c r="O73" s="46"/>
      <c r="P73" s="47"/>
      <c r="Q73" s="43">
        <f t="shared" si="2"/>
        <v>0</v>
      </c>
      <c r="R73" s="25"/>
    </row>
    <row r="74" spans="2:18" ht="14.4" hidden="1" outlineLevel="1" thickBot="1" x14ac:dyDescent="0.35">
      <c r="B74" s="44"/>
      <c r="C74" s="44"/>
      <c r="D74" s="44"/>
      <c r="E74" s="46"/>
      <c r="F74" s="46"/>
      <c r="G74" s="46"/>
      <c r="H74" s="46"/>
      <c r="I74" s="46"/>
      <c r="J74" s="46"/>
      <c r="K74" s="46"/>
      <c r="L74" s="46"/>
      <c r="M74" s="46"/>
      <c r="N74" s="46"/>
      <c r="O74" s="46"/>
      <c r="P74" s="47"/>
      <c r="Q74" s="43">
        <f t="shared" si="2"/>
        <v>0</v>
      </c>
      <c r="R74" s="25"/>
    </row>
    <row r="75" spans="2:18" ht="14.4" hidden="1" outlineLevel="1" thickBot="1" x14ac:dyDescent="0.35">
      <c r="B75" s="44"/>
      <c r="C75" s="44"/>
      <c r="D75" s="44"/>
      <c r="E75" s="46"/>
      <c r="F75" s="46"/>
      <c r="G75" s="46"/>
      <c r="H75" s="46"/>
      <c r="I75" s="46"/>
      <c r="J75" s="46"/>
      <c r="K75" s="46"/>
      <c r="L75" s="46"/>
      <c r="M75" s="46"/>
      <c r="N75" s="46"/>
      <c r="O75" s="46"/>
      <c r="P75" s="47"/>
      <c r="Q75" s="43">
        <f t="shared" si="2"/>
        <v>0</v>
      </c>
      <c r="R75" s="25"/>
    </row>
    <row r="76" spans="2:18" ht="14.4" hidden="1" outlineLevel="1" thickBot="1" x14ac:dyDescent="0.35">
      <c r="B76" s="44"/>
      <c r="C76" s="44"/>
      <c r="D76" s="44"/>
      <c r="E76" s="46"/>
      <c r="F76" s="46"/>
      <c r="G76" s="46"/>
      <c r="H76" s="46"/>
      <c r="I76" s="46"/>
      <c r="J76" s="46"/>
      <c r="K76" s="46"/>
      <c r="L76" s="46"/>
      <c r="M76" s="46"/>
      <c r="N76" s="46"/>
      <c r="O76" s="46"/>
      <c r="P76" s="47"/>
      <c r="Q76" s="43">
        <f t="shared" si="2"/>
        <v>0</v>
      </c>
      <c r="R76" s="25"/>
    </row>
    <row r="77" spans="2:18" ht="14.4" hidden="1" outlineLevel="1" thickBot="1" x14ac:dyDescent="0.35">
      <c r="B77" s="44"/>
      <c r="C77" s="44"/>
      <c r="D77" s="44"/>
      <c r="E77" s="46"/>
      <c r="F77" s="46"/>
      <c r="G77" s="46"/>
      <c r="H77" s="46"/>
      <c r="I77" s="46"/>
      <c r="J77" s="46"/>
      <c r="K77" s="46"/>
      <c r="L77" s="46"/>
      <c r="M77" s="46"/>
      <c r="N77" s="46"/>
      <c r="O77" s="46"/>
      <c r="P77" s="47"/>
      <c r="Q77" s="43">
        <f t="shared" si="2"/>
        <v>0</v>
      </c>
      <c r="R77" s="25"/>
    </row>
    <row r="78" spans="2:18" ht="14.4" hidden="1" outlineLevel="1" thickBot="1" x14ac:dyDescent="0.35">
      <c r="B78" s="44"/>
      <c r="C78" s="44"/>
      <c r="D78" s="44"/>
      <c r="E78" s="46"/>
      <c r="F78" s="46"/>
      <c r="G78" s="46"/>
      <c r="H78" s="46"/>
      <c r="I78" s="46"/>
      <c r="J78" s="46"/>
      <c r="K78" s="46"/>
      <c r="L78" s="46"/>
      <c r="M78" s="46"/>
      <c r="N78" s="46"/>
      <c r="O78" s="46"/>
      <c r="P78" s="47"/>
      <c r="Q78" s="43">
        <f t="shared" si="2"/>
        <v>0</v>
      </c>
      <c r="R78" s="25"/>
    </row>
    <row r="79" spans="2:18" ht="14.4" hidden="1" outlineLevel="1" thickBot="1" x14ac:dyDescent="0.35">
      <c r="B79" s="44"/>
      <c r="C79" s="44"/>
      <c r="D79" s="44"/>
      <c r="E79" s="46"/>
      <c r="F79" s="46"/>
      <c r="G79" s="46"/>
      <c r="H79" s="46"/>
      <c r="I79" s="46"/>
      <c r="J79" s="46"/>
      <c r="K79" s="46"/>
      <c r="L79" s="46"/>
      <c r="M79" s="46"/>
      <c r="N79" s="46"/>
      <c r="O79" s="46"/>
      <c r="P79" s="47"/>
      <c r="Q79" s="43">
        <f t="shared" si="2"/>
        <v>0</v>
      </c>
      <c r="R79" s="25"/>
    </row>
    <row r="80" spans="2:18" ht="14.4" hidden="1" outlineLevel="1" thickBot="1" x14ac:dyDescent="0.35">
      <c r="B80" s="44"/>
      <c r="C80" s="44"/>
      <c r="D80" s="44"/>
      <c r="E80" s="46"/>
      <c r="F80" s="46"/>
      <c r="G80" s="46"/>
      <c r="H80" s="46"/>
      <c r="I80" s="46"/>
      <c r="J80" s="46"/>
      <c r="K80" s="46"/>
      <c r="L80" s="46"/>
      <c r="M80" s="46"/>
      <c r="N80" s="46"/>
      <c r="O80" s="46"/>
      <c r="P80" s="47"/>
      <c r="Q80" s="43">
        <f t="shared" si="2"/>
        <v>0</v>
      </c>
      <c r="R80" s="25"/>
    </row>
    <row r="81" spans="2:18" ht="14.4" hidden="1" outlineLevel="1" thickBot="1" x14ac:dyDescent="0.35">
      <c r="B81" s="44"/>
      <c r="C81" s="44"/>
      <c r="D81" s="44"/>
      <c r="E81" s="46"/>
      <c r="F81" s="46"/>
      <c r="G81" s="46"/>
      <c r="H81" s="46"/>
      <c r="I81" s="46"/>
      <c r="J81" s="46"/>
      <c r="K81" s="46"/>
      <c r="L81" s="46"/>
      <c r="M81" s="46"/>
      <c r="N81" s="46"/>
      <c r="O81" s="46"/>
      <c r="P81" s="47"/>
      <c r="Q81" s="43">
        <f t="shared" si="2"/>
        <v>0</v>
      </c>
      <c r="R81" s="25"/>
    </row>
    <row r="82" spans="2:18" ht="14.4" hidden="1" outlineLevel="1" thickBot="1" x14ac:dyDescent="0.35">
      <c r="B82" s="44"/>
      <c r="C82" s="44"/>
      <c r="D82" s="44"/>
      <c r="E82" s="46"/>
      <c r="F82" s="46"/>
      <c r="G82" s="46"/>
      <c r="H82" s="46"/>
      <c r="I82" s="46"/>
      <c r="J82" s="46"/>
      <c r="K82" s="46"/>
      <c r="L82" s="46"/>
      <c r="M82" s="46"/>
      <c r="N82" s="46"/>
      <c r="O82" s="46"/>
      <c r="P82" s="47"/>
      <c r="Q82" s="43">
        <f t="shared" si="2"/>
        <v>0</v>
      </c>
      <c r="R82" s="25"/>
    </row>
    <row r="83" spans="2:18" ht="14.4" hidden="1" outlineLevel="1" thickBot="1" x14ac:dyDescent="0.35">
      <c r="B83" s="44"/>
      <c r="C83" s="44"/>
      <c r="D83" s="44"/>
      <c r="E83" s="46"/>
      <c r="F83" s="46"/>
      <c r="G83" s="46"/>
      <c r="H83" s="46"/>
      <c r="I83" s="46"/>
      <c r="J83" s="46"/>
      <c r="K83" s="46"/>
      <c r="L83" s="46"/>
      <c r="M83" s="46"/>
      <c r="N83" s="46"/>
      <c r="O83" s="46"/>
      <c r="P83" s="47"/>
      <c r="Q83" s="43">
        <f t="shared" si="2"/>
        <v>0</v>
      </c>
      <c r="R83" s="25"/>
    </row>
    <row r="84" spans="2:18" ht="14.4" hidden="1" outlineLevel="1" thickBot="1" x14ac:dyDescent="0.35">
      <c r="B84" s="44"/>
      <c r="C84" s="44"/>
      <c r="D84" s="44"/>
      <c r="E84" s="46"/>
      <c r="F84" s="46"/>
      <c r="G84" s="46"/>
      <c r="H84" s="46"/>
      <c r="I84" s="46"/>
      <c r="J84" s="46"/>
      <c r="K84" s="46"/>
      <c r="L84" s="46"/>
      <c r="M84" s="46"/>
      <c r="N84" s="46"/>
      <c r="O84" s="46"/>
      <c r="P84" s="47"/>
      <c r="Q84" s="43">
        <f t="shared" si="2"/>
        <v>0</v>
      </c>
      <c r="R84" s="25"/>
    </row>
    <row r="85" spans="2:18" ht="14.4" hidden="1" outlineLevel="1" thickBot="1" x14ac:dyDescent="0.35">
      <c r="B85" s="44"/>
      <c r="C85" s="44"/>
      <c r="D85" s="44"/>
      <c r="E85" s="46"/>
      <c r="F85" s="46"/>
      <c r="G85" s="46"/>
      <c r="H85" s="46"/>
      <c r="I85" s="46"/>
      <c r="J85" s="46"/>
      <c r="K85" s="46"/>
      <c r="L85" s="46"/>
      <c r="M85" s="46"/>
      <c r="N85" s="46"/>
      <c r="O85" s="46"/>
      <c r="P85" s="47"/>
      <c r="Q85" s="43">
        <f t="shared" si="2"/>
        <v>0</v>
      </c>
      <c r="R85" s="25"/>
    </row>
    <row r="86" spans="2:18" ht="14.4" hidden="1" outlineLevel="1" thickBot="1" x14ac:dyDescent="0.35">
      <c r="B86" s="44"/>
      <c r="C86" s="44"/>
      <c r="D86" s="44"/>
      <c r="E86" s="46"/>
      <c r="F86" s="46"/>
      <c r="G86" s="46"/>
      <c r="H86" s="46"/>
      <c r="I86" s="46"/>
      <c r="J86" s="46"/>
      <c r="K86" s="46"/>
      <c r="L86" s="46"/>
      <c r="M86" s="46"/>
      <c r="N86" s="46"/>
      <c r="O86" s="46"/>
      <c r="P86" s="47"/>
      <c r="Q86" s="43">
        <f t="shared" si="2"/>
        <v>0</v>
      </c>
      <c r="R86" s="25"/>
    </row>
    <row r="87" spans="2:18" ht="14.4" hidden="1" outlineLevel="1" thickBot="1" x14ac:dyDescent="0.35">
      <c r="B87" s="44"/>
      <c r="C87" s="44"/>
      <c r="D87" s="44"/>
      <c r="E87" s="46"/>
      <c r="F87" s="46"/>
      <c r="G87" s="46"/>
      <c r="H87" s="46"/>
      <c r="I87" s="46"/>
      <c r="J87" s="46"/>
      <c r="K87" s="46"/>
      <c r="L87" s="46"/>
      <c r="M87" s="46"/>
      <c r="N87" s="46"/>
      <c r="O87" s="46"/>
      <c r="P87" s="47"/>
      <c r="Q87" s="43">
        <f t="shared" si="2"/>
        <v>0</v>
      </c>
      <c r="R87" s="25"/>
    </row>
    <row r="88" spans="2:18" ht="14.4" hidden="1" outlineLevel="1" thickBot="1" x14ac:dyDescent="0.35">
      <c r="B88" s="44"/>
      <c r="C88" s="44"/>
      <c r="D88" s="44"/>
      <c r="E88" s="46"/>
      <c r="F88" s="46"/>
      <c r="G88" s="46"/>
      <c r="H88" s="46"/>
      <c r="I88" s="46"/>
      <c r="J88" s="46"/>
      <c r="K88" s="46"/>
      <c r="L88" s="46"/>
      <c r="M88" s="46"/>
      <c r="N88" s="46"/>
      <c r="O88" s="46"/>
      <c r="P88" s="47"/>
      <c r="Q88" s="43">
        <f t="shared" si="2"/>
        <v>0</v>
      </c>
      <c r="R88" s="25"/>
    </row>
    <row r="89" spans="2:18" ht="14.4" hidden="1" outlineLevel="1" thickBot="1" x14ac:dyDescent="0.35">
      <c r="B89" s="44"/>
      <c r="C89" s="44"/>
      <c r="D89" s="44"/>
      <c r="E89" s="46"/>
      <c r="F89" s="46"/>
      <c r="G89" s="46"/>
      <c r="H89" s="46"/>
      <c r="I89" s="46"/>
      <c r="J89" s="46"/>
      <c r="K89" s="46"/>
      <c r="L89" s="46"/>
      <c r="M89" s="46"/>
      <c r="N89" s="46"/>
      <c r="O89" s="46"/>
      <c r="P89" s="47"/>
      <c r="Q89" s="43">
        <f t="shared" si="2"/>
        <v>0</v>
      </c>
      <c r="R89" s="25"/>
    </row>
    <row r="90" spans="2:18" ht="14.4" hidden="1" outlineLevel="1" thickBot="1" x14ac:dyDescent="0.35">
      <c r="B90" s="44"/>
      <c r="C90" s="44"/>
      <c r="D90" s="44"/>
      <c r="E90" s="46"/>
      <c r="F90" s="46"/>
      <c r="G90" s="46"/>
      <c r="H90" s="46"/>
      <c r="I90" s="46"/>
      <c r="J90" s="46"/>
      <c r="K90" s="46"/>
      <c r="L90" s="46"/>
      <c r="M90" s="46"/>
      <c r="N90" s="46"/>
      <c r="O90" s="46"/>
      <c r="P90" s="47"/>
      <c r="Q90" s="43">
        <f t="shared" si="2"/>
        <v>0</v>
      </c>
      <c r="R90" s="25"/>
    </row>
    <row r="91" spans="2:18" ht="14.4" hidden="1" outlineLevel="1" thickBot="1" x14ac:dyDescent="0.35">
      <c r="B91" s="44"/>
      <c r="C91" s="44"/>
      <c r="D91" s="44"/>
      <c r="E91" s="46"/>
      <c r="F91" s="46"/>
      <c r="G91" s="46"/>
      <c r="H91" s="46"/>
      <c r="I91" s="46"/>
      <c r="J91" s="46"/>
      <c r="K91" s="46"/>
      <c r="L91" s="46"/>
      <c r="M91" s="46"/>
      <c r="N91" s="46"/>
      <c r="O91" s="46"/>
      <c r="P91" s="47"/>
      <c r="Q91" s="43">
        <f t="shared" si="2"/>
        <v>0</v>
      </c>
      <c r="R91" s="25"/>
    </row>
    <row r="92" spans="2:18" ht="14.4" hidden="1" outlineLevel="1" thickBot="1" x14ac:dyDescent="0.35">
      <c r="B92" s="44"/>
      <c r="C92" s="44"/>
      <c r="D92" s="44"/>
      <c r="E92" s="46"/>
      <c r="F92" s="46"/>
      <c r="G92" s="46"/>
      <c r="H92" s="46"/>
      <c r="I92" s="46"/>
      <c r="J92" s="46"/>
      <c r="K92" s="46"/>
      <c r="L92" s="46"/>
      <c r="M92" s="46"/>
      <c r="N92" s="46"/>
      <c r="O92" s="46"/>
      <c r="P92" s="47"/>
      <c r="Q92" s="43">
        <f t="shared" si="2"/>
        <v>0</v>
      </c>
      <c r="R92" s="25"/>
    </row>
    <row r="93" spans="2:18" ht="14.4" hidden="1" outlineLevel="1" thickBot="1" x14ac:dyDescent="0.35">
      <c r="B93" s="44"/>
      <c r="C93" s="44"/>
      <c r="D93" s="44"/>
      <c r="E93" s="46"/>
      <c r="F93" s="46"/>
      <c r="G93" s="46"/>
      <c r="H93" s="46"/>
      <c r="I93" s="46"/>
      <c r="J93" s="46"/>
      <c r="K93" s="46"/>
      <c r="L93" s="46"/>
      <c r="M93" s="46"/>
      <c r="N93" s="46"/>
      <c r="O93" s="46"/>
      <c r="P93" s="47"/>
      <c r="Q93" s="43">
        <f t="shared" si="2"/>
        <v>0</v>
      </c>
      <c r="R93" s="25"/>
    </row>
    <row r="94" spans="2:18" ht="14.4" hidden="1" outlineLevel="1" thickBot="1" x14ac:dyDescent="0.35">
      <c r="B94" s="44"/>
      <c r="C94" s="44"/>
      <c r="D94" s="44"/>
      <c r="E94" s="46"/>
      <c r="F94" s="46"/>
      <c r="G94" s="46"/>
      <c r="H94" s="46"/>
      <c r="I94" s="46"/>
      <c r="J94" s="46"/>
      <c r="K94" s="46"/>
      <c r="L94" s="46"/>
      <c r="M94" s="46"/>
      <c r="N94" s="46"/>
      <c r="O94" s="46"/>
      <c r="P94" s="47"/>
      <c r="Q94" s="43">
        <f t="shared" si="2"/>
        <v>0</v>
      </c>
      <c r="R94" s="25"/>
    </row>
    <row r="95" spans="2:18" ht="14.4" hidden="1" outlineLevel="1" thickBot="1" x14ac:dyDescent="0.35">
      <c r="B95" s="44"/>
      <c r="C95" s="44"/>
      <c r="D95" s="44"/>
      <c r="E95" s="46"/>
      <c r="F95" s="46"/>
      <c r="G95" s="46"/>
      <c r="H95" s="46"/>
      <c r="I95" s="46"/>
      <c r="J95" s="46"/>
      <c r="K95" s="46"/>
      <c r="L95" s="46"/>
      <c r="M95" s="46"/>
      <c r="N95" s="46"/>
      <c r="O95" s="46"/>
      <c r="P95" s="47"/>
      <c r="Q95" s="43">
        <f t="shared" si="2"/>
        <v>0</v>
      </c>
      <c r="R95" s="25"/>
    </row>
    <row r="96" spans="2:18" ht="14.4" hidden="1" outlineLevel="1" thickBot="1" x14ac:dyDescent="0.35">
      <c r="B96" s="44"/>
      <c r="C96" s="44"/>
      <c r="D96" s="44"/>
      <c r="E96" s="46"/>
      <c r="F96" s="46"/>
      <c r="G96" s="46"/>
      <c r="H96" s="46"/>
      <c r="I96" s="46"/>
      <c r="J96" s="46"/>
      <c r="K96" s="46"/>
      <c r="L96" s="46"/>
      <c r="M96" s="46"/>
      <c r="N96" s="46"/>
      <c r="O96" s="46"/>
      <c r="P96" s="47"/>
      <c r="Q96" s="43">
        <f t="shared" si="2"/>
        <v>0</v>
      </c>
      <c r="R96" s="25"/>
    </row>
    <row r="97" spans="2:18" ht="14.4" hidden="1" outlineLevel="1" thickBot="1" x14ac:dyDescent="0.35">
      <c r="B97" s="44"/>
      <c r="C97" s="44"/>
      <c r="D97" s="44"/>
      <c r="E97" s="46"/>
      <c r="F97" s="46"/>
      <c r="G97" s="46"/>
      <c r="H97" s="46"/>
      <c r="I97" s="46"/>
      <c r="J97" s="46"/>
      <c r="K97" s="46"/>
      <c r="L97" s="46"/>
      <c r="M97" s="46"/>
      <c r="N97" s="46"/>
      <c r="O97" s="46"/>
      <c r="P97" s="47"/>
      <c r="Q97" s="43">
        <f t="shared" si="2"/>
        <v>0</v>
      </c>
      <c r="R97" s="25"/>
    </row>
    <row r="98" spans="2:18" ht="14.4" hidden="1" outlineLevel="1" thickBot="1" x14ac:dyDescent="0.35">
      <c r="B98" s="44"/>
      <c r="C98" s="44"/>
      <c r="D98" s="44"/>
      <c r="E98" s="46"/>
      <c r="F98" s="46"/>
      <c r="G98" s="46"/>
      <c r="H98" s="46"/>
      <c r="I98" s="46"/>
      <c r="J98" s="46"/>
      <c r="K98" s="46"/>
      <c r="L98" s="46"/>
      <c r="M98" s="46"/>
      <c r="N98" s="46"/>
      <c r="O98" s="46"/>
      <c r="P98" s="47"/>
      <c r="Q98" s="43">
        <f t="shared" si="2"/>
        <v>0</v>
      </c>
      <c r="R98" s="25"/>
    </row>
    <row r="99" spans="2:18" ht="14.4" hidden="1" outlineLevel="1" thickBot="1" x14ac:dyDescent="0.35">
      <c r="B99" s="44"/>
      <c r="C99" s="44"/>
      <c r="D99" s="44"/>
      <c r="E99" s="46"/>
      <c r="F99" s="46"/>
      <c r="G99" s="46"/>
      <c r="H99" s="46"/>
      <c r="I99" s="46"/>
      <c r="J99" s="46"/>
      <c r="K99" s="46"/>
      <c r="L99" s="46"/>
      <c r="M99" s="46"/>
      <c r="N99" s="46"/>
      <c r="O99" s="46"/>
      <c r="P99" s="47"/>
      <c r="Q99" s="43">
        <f t="shared" si="2"/>
        <v>0</v>
      </c>
      <c r="R99" s="25"/>
    </row>
    <row r="100" spans="2:18" ht="14.4" hidden="1" outlineLevel="1" thickBot="1" x14ac:dyDescent="0.35">
      <c r="B100" s="44"/>
      <c r="C100" s="44"/>
      <c r="D100" s="44"/>
      <c r="E100" s="46"/>
      <c r="F100" s="46"/>
      <c r="G100" s="46"/>
      <c r="H100" s="46"/>
      <c r="I100" s="46"/>
      <c r="J100" s="46"/>
      <c r="K100" s="46"/>
      <c r="L100" s="46"/>
      <c r="M100" s="46"/>
      <c r="N100" s="46"/>
      <c r="O100" s="46"/>
      <c r="P100" s="47"/>
      <c r="Q100" s="43">
        <f t="shared" si="2"/>
        <v>0</v>
      </c>
      <c r="R100" s="25"/>
    </row>
    <row r="101" spans="2:18" hidden="1" outlineLevel="1" x14ac:dyDescent="0.3">
      <c r="B101" s="44"/>
      <c r="C101" s="44"/>
      <c r="D101" s="44"/>
      <c r="E101" s="46"/>
      <c r="F101" s="46"/>
      <c r="G101" s="46"/>
      <c r="H101" s="46"/>
      <c r="I101" s="46"/>
      <c r="J101" s="46"/>
      <c r="K101" s="46"/>
      <c r="L101" s="46"/>
      <c r="M101" s="46"/>
      <c r="N101" s="46"/>
      <c r="O101" s="46"/>
      <c r="P101" s="47"/>
      <c r="Q101" s="716">
        <f t="shared" si="2"/>
        <v>0</v>
      </c>
      <c r="R101" s="25"/>
    </row>
    <row r="102" spans="2:18" ht="2.4" customHeight="1" outlineLevel="1" thickBot="1" x14ac:dyDescent="0.35">
      <c r="B102" s="712"/>
      <c r="C102" s="712"/>
      <c r="D102" s="712"/>
      <c r="E102" s="33"/>
      <c r="F102" s="33"/>
      <c r="G102" s="33"/>
      <c r="H102" s="33"/>
      <c r="I102" s="33"/>
      <c r="J102" s="33"/>
      <c r="K102" s="33"/>
      <c r="L102" s="33"/>
      <c r="M102" s="33"/>
      <c r="N102" s="33"/>
      <c r="O102" s="33"/>
      <c r="P102" s="33"/>
      <c r="Q102" s="715"/>
      <c r="R102" s="238"/>
    </row>
    <row r="103" spans="2:18" ht="14.4" thickBot="1" x14ac:dyDescent="0.35">
      <c r="B103" s="49" t="s">
        <v>323</v>
      </c>
      <c r="C103" s="49" t="s">
        <v>18</v>
      </c>
      <c r="D103" s="49"/>
      <c r="E103" s="50">
        <f>SUM(E6:$E$101)</f>
        <v>0</v>
      </c>
      <c r="F103" s="50">
        <f>SUM(F6:$F$101)</f>
        <v>0</v>
      </c>
      <c r="G103" s="50">
        <f>SUM(G6:$G$101)</f>
        <v>0</v>
      </c>
      <c r="H103" s="50">
        <f>SUM(H6:$H$101)</f>
        <v>0</v>
      </c>
      <c r="I103" s="50">
        <f>SUM(I6:$I$101)</f>
        <v>0</v>
      </c>
      <c r="J103" s="50">
        <f>SUM(J6:$J$101)</f>
        <v>0</v>
      </c>
      <c r="K103" s="50">
        <f>SUM(K6:$K$101)</f>
        <v>0</v>
      </c>
      <c r="L103" s="50">
        <f>SUM(L6:$L$101)</f>
        <v>0</v>
      </c>
      <c r="M103" s="50">
        <f>SUM(M6:$M$101)</f>
        <v>0</v>
      </c>
      <c r="N103" s="50">
        <f>SUM(N6:$N$101)</f>
        <v>0</v>
      </c>
      <c r="O103" s="50">
        <f>SUM(O6:$O$101)</f>
        <v>0</v>
      </c>
      <c r="P103" s="43">
        <f>SUM(P6:$P$101)</f>
        <v>0</v>
      </c>
      <c r="Q103" s="43">
        <f>SUM($E$103:$P$103)</f>
        <v>0</v>
      </c>
      <c r="R103" s="25"/>
    </row>
    <row r="105" spans="2:18" x14ac:dyDescent="0.3">
      <c r="Q105" s="51" t="e">
        <f>Q103/B3</f>
        <v>#DIV/0!</v>
      </c>
    </row>
    <row r="106" spans="2:18" x14ac:dyDescent="0.3">
      <c r="Q106" s="51" t="s">
        <v>213</v>
      </c>
    </row>
  </sheetData>
  <autoFilter ref="B5:R103" xr:uid="{262CAE44-BD68-4552-846E-12CEEA7B226B}"/>
  <dataConsolid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F98721A-1C95-4119-82E2-8AB7B581C39A}">
          <x14:formula1>
            <xm:f>'OpStatement List - Dropdowns'!$L$13:$L$22</xm:f>
          </x14:formula1>
          <xm:sqref>B6:B102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BB9F5-478F-4C0F-85E8-55575F28F5C8}">
  <sheetPr>
    <tabColor theme="3" tint="0.249977111117893"/>
  </sheetPr>
  <dimension ref="A1:AC84"/>
  <sheetViews>
    <sheetView workbookViewId="0">
      <selection activeCell="B19" sqref="B19"/>
    </sheetView>
  </sheetViews>
  <sheetFormatPr defaultColWidth="9.6640625" defaultRowHeight="13.8" outlineLevelRow="1" x14ac:dyDescent="0.3"/>
  <cols>
    <col min="1" max="1" width="7" style="97" customWidth="1"/>
    <col min="2" max="2" width="22.5546875" style="97" customWidth="1"/>
    <col min="3" max="3" width="49.33203125" style="118" customWidth="1"/>
    <col min="4" max="4" width="12.6640625" style="119" customWidth="1"/>
    <col min="5" max="16" width="11.6640625" style="119" bestFit="1" customWidth="1"/>
    <col min="17" max="17" width="16.33203125" style="119" bestFit="1" customWidth="1"/>
    <col min="18" max="18" width="59.44140625" style="101" customWidth="1"/>
    <col min="19" max="19" width="9.6640625" style="101"/>
    <col min="20" max="20" width="11.6640625" style="101" bestFit="1" customWidth="1"/>
    <col min="21" max="21" width="9.6640625" style="101"/>
    <col min="22" max="22" width="11.6640625" style="101" bestFit="1" customWidth="1"/>
    <col min="23" max="24" width="9.6640625" style="101"/>
    <col min="25" max="25" width="11.6640625" style="101" bestFit="1" customWidth="1"/>
    <col min="26" max="29" width="9.6640625" style="101"/>
    <col min="30" max="16384" width="9.6640625" style="111"/>
  </cols>
  <sheetData>
    <row r="1" spans="1:29" s="2" customFormat="1" x14ac:dyDescent="0.3">
      <c r="A1" s="97"/>
      <c r="B1" s="97"/>
      <c r="C1" s="98"/>
      <c r="D1" s="732"/>
      <c r="E1" s="732"/>
      <c r="F1" s="732"/>
      <c r="G1" s="732"/>
      <c r="H1" s="732"/>
      <c r="I1" s="732"/>
      <c r="J1" s="732"/>
      <c r="K1" s="732"/>
      <c r="L1" s="732"/>
      <c r="M1" s="732"/>
      <c r="N1" s="732"/>
      <c r="O1" s="732"/>
      <c r="P1" s="732"/>
      <c r="Q1" s="100"/>
      <c r="R1" s="101"/>
      <c r="S1" s="3"/>
      <c r="T1" s="3"/>
      <c r="U1" s="3"/>
      <c r="V1" s="3"/>
      <c r="W1" s="3"/>
      <c r="X1" s="3"/>
      <c r="Y1" s="3"/>
      <c r="Z1" s="3"/>
      <c r="AA1" s="3"/>
      <c r="AB1" s="3"/>
      <c r="AC1" s="3"/>
    </row>
    <row r="2" spans="1:29" s="2" customFormat="1" ht="20.399999999999999" customHeight="1" x14ac:dyDescent="0.3">
      <c r="A2" s="97"/>
      <c r="B2" s="441" t="s">
        <v>258</v>
      </c>
      <c r="D2" s="99"/>
      <c r="E2" s="3"/>
      <c r="F2" s="99"/>
      <c r="G2" s="99"/>
      <c r="H2" s="99"/>
      <c r="I2" s="99"/>
      <c r="J2" s="99"/>
      <c r="K2" s="99"/>
      <c r="L2" s="99"/>
      <c r="M2" s="99"/>
      <c r="N2" s="99"/>
      <c r="O2" s="99"/>
      <c r="P2" s="99"/>
      <c r="Q2" s="100"/>
      <c r="R2" s="101"/>
      <c r="S2" s="3"/>
      <c r="T2" s="3"/>
      <c r="U2" s="3"/>
      <c r="V2" s="3"/>
      <c r="W2" s="3"/>
      <c r="X2" s="3"/>
      <c r="Y2" s="3"/>
      <c r="Z2" s="3"/>
      <c r="AA2" s="3"/>
      <c r="AB2" s="3"/>
      <c r="AC2" s="3"/>
    </row>
    <row r="3" spans="1:29" s="2" customFormat="1" ht="20.399999999999999" customHeight="1" x14ac:dyDescent="0.3">
      <c r="A3" s="97"/>
      <c r="B3" s="442">
        <f>'Rent Schedule'!E31</f>
        <v>0</v>
      </c>
      <c r="C3" s="99"/>
      <c r="D3" s="99"/>
      <c r="E3" s="3"/>
      <c r="F3" s="99"/>
      <c r="G3" s="99"/>
      <c r="H3" s="99"/>
      <c r="I3" s="99"/>
      <c r="J3" s="99"/>
      <c r="K3" s="99"/>
      <c r="L3" s="99"/>
      <c r="M3" s="99"/>
      <c r="N3" s="99"/>
      <c r="O3" s="99"/>
      <c r="P3" s="99"/>
      <c r="Q3" s="100"/>
      <c r="R3" s="101"/>
      <c r="S3" s="3"/>
      <c r="T3" s="3"/>
      <c r="U3" s="3"/>
      <c r="V3" s="3"/>
      <c r="W3" s="3"/>
      <c r="X3" s="3"/>
      <c r="Y3" s="3"/>
      <c r="Z3" s="3"/>
      <c r="AA3" s="3"/>
      <c r="AB3" s="3"/>
      <c r="AC3" s="3"/>
    </row>
    <row r="4" spans="1:29" s="2" customFormat="1" ht="4.2" customHeight="1" x14ac:dyDescent="0.3">
      <c r="A4" s="97"/>
      <c r="B4" s="97"/>
      <c r="C4" s="98"/>
      <c r="D4" s="99"/>
      <c r="E4" s="99"/>
      <c r="F4" s="99"/>
      <c r="G4" s="99"/>
      <c r="H4" s="99"/>
      <c r="I4" s="99"/>
      <c r="J4" s="99"/>
      <c r="K4" s="99"/>
      <c r="L4" s="99"/>
      <c r="M4" s="99"/>
      <c r="N4" s="99"/>
      <c r="O4" s="99"/>
      <c r="P4" s="99"/>
      <c r="Q4" s="100"/>
      <c r="R4" s="101"/>
      <c r="S4" s="3"/>
      <c r="T4" s="3"/>
      <c r="U4" s="3"/>
      <c r="V4" s="3"/>
      <c r="W4" s="3"/>
      <c r="X4" s="3"/>
      <c r="Y4" s="3"/>
      <c r="Z4" s="3"/>
      <c r="AA4" s="3"/>
      <c r="AB4" s="3"/>
      <c r="AC4" s="3"/>
    </row>
    <row r="5" spans="1:29" s="104" customFormat="1" ht="14.4" customHeight="1" thickBot="1" x14ac:dyDescent="0.35">
      <c r="A5" s="102"/>
      <c r="B5" s="496" t="s">
        <v>296</v>
      </c>
      <c r="C5" s="496" t="s">
        <v>248</v>
      </c>
      <c r="D5" s="497" t="s">
        <v>262</v>
      </c>
      <c r="E5" s="495">
        <f>+'Absorption Schedule'!I25</f>
        <v>46204</v>
      </c>
      <c r="F5" s="495">
        <f>EOMONTH(E5,1 )</f>
        <v>46265</v>
      </c>
      <c r="G5" s="495">
        <f t="shared" ref="G5:P5" si="0">EOMONTH(F5,1 )</f>
        <v>46295</v>
      </c>
      <c r="H5" s="495">
        <f t="shared" si="0"/>
        <v>46326</v>
      </c>
      <c r="I5" s="495">
        <f t="shared" si="0"/>
        <v>46356</v>
      </c>
      <c r="J5" s="495">
        <f t="shared" si="0"/>
        <v>46387</v>
      </c>
      <c r="K5" s="495">
        <f t="shared" si="0"/>
        <v>46418</v>
      </c>
      <c r="L5" s="495">
        <f t="shared" si="0"/>
        <v>46446</v>
      </c>
      <c r="M5" s="495">
        <f t="shared" si="0"/>
        <v>46477</v>
      </c>
      <c r="N5" s="495">
        <f t="shared" si="0"/>
        <v>46507</v>
      </c>
      <c r="O5" s="495">
        <f t="shared" si="0"/>
        <v>46538</v>
      </c>
      <c r="P5" s="495">
        <f t="shared" si="0"/>
        <v>46568</v>
      </c>
      <c r="Q5" s="498" t="s">
        <v>18</v>
      </c>
      <c r="R5" s="499" t="s">
        <v>255</v>
      </c>
      <c r="S5" s="103"/>
      <c r="T5" s="103"/>
      <c r="U5" s="103"/>
      <c r="V5" s="103"/>
      <c r="W5" s="103"/>
      <c r="X5" s="103"/>
      <c r="Y5" s="103"/>
      <c r="Z5" s="103"/>
      <c r="AA5" s="103"/>
      <c r="AB5" s="103"/>
      <c r="AC5" s="103"/>
    </row>
    <row r="6" spans="1:29" s="2" customFormat="1" ht="14.4" customHeight="1" thickBot="1" x14ac:dyDescent="0.35">
      <c r="A6" s="105"/>
      <c r="B6" s="461" t="s">
        <v>166</v>
      </c>
      <c r="C6" s="450" t="s">
        <v>263</v>
      </c>
      <c r="D6" s="435" t="s">
        <v>272</v>
      </c>
      <c r="E6" s="443">
        <f>+INDEX('Marketing List - Dropdowns'!G5:I12,MATCH('Marketing Stack - Lease-Up'!D6,'Marketing List - Dropdowns'!F5:F12,0),MATCH('Marketing List - Dropdowns'!E4,'Marketing List - Dropdowns'!G4:I4,0))</f>
        <v>1625</v>
      </c>
      <c r="F6" s="443">
        <f t="shared" ref="F6:P8" si="1">+E6</f>
        <v>1625</v>
      </c>
      <c r="G6" s="444">
        <f t="shared" si="1"/>
        <v>1625</v>
      </c>
      <c r="H6" s="444">
        <f t="shared" si="1"/>
        <v>1625</v>
      </c>
      <c r="I6" s="444">
        <f t="shared" si="1"/>
        <v>1625</v>
      </c>
      <c r="J6" s="444">
        <f t="shared" si="1"/>
        <v>1625</v>
      </c>
      <c r="K6" s="444">
        <f t="shared" si="1"/>
        <v>1625</v>
      </c>
      <c r="L6" s="444">
        <f t="shared" si="1"/>
        <v>1625</v>
      </c>
      <c r="M6" s="444">
        <f t="shared" si="1"/>
        <v>1625</v>
      </c>
      <c r="N6" s="444">
        <f t="shared" si="1"/>
        <v>1625</v>
      </c>
      <c r="O6" s="444">
        <f t="shared" si="1"/>
        <v>1625</v>
      </c>
      <c r="P6" s="474">
        <f t="shared" si="1"/>
        <v>1625</v>
      </c>
      <c r="Q6" s="479">
        <f>SUM(E6:P6)</f>
        <v>19500</v>
      </c>
      <c r="R6" s="462"/>
      <c r="S6" s="3"/>
      <c r="T6" s="3"/>
      <c r="U6" s="3"/>
      <c r="V6" s="3"/>
      <c r="W6" s="3"/>
      <c r="X6" s="3"/>
      <c r="Y6" s="3"/>
      <c r="Z6" s="3"/>
      <c r="AA6" s="3"/>
      <c r="AB6" s="3"/>
      <c r="AC6" s="3"/>
    </row>
    <row r="7" spans="1:29" s="108" customFormat="1" ht="14.4" customHeight="1" thickBot="1" x14ac:dyDescent="0.35">
      <c r="A7" s="106"/>
      <c r="B7" s="463" t="s">
        <v>166</v>
      </c>
      <c r="C7" s="451" t="s">
        <v>289</v>
      </c>
      <c r="D7" s="436">
        <v>2000</v>
      </c>
      <c r="E7" s="445">
        <f>+D7</f>
        <v>2000</v>
      </c>
      <c r="F7" s="445">
        <f t="shared" si="1"/>
        <v>2000</v>
      </c>
      <c r="G7" s="445">
        <f t="shared" si="1"/>
        <v>2000</v>
      </c>
      <c r="H7" s="445">
        <f t="shared" si="1"/>
        <v>2000</v>
      </c>
      <c r="I7" s="445">
        <f t="shared" si="1"/>
        <v>2000</v>
      </c>
      <c r="J7" s="445">
        <f t="shared" si="1"/>
        <v>2000</v>
      </c>
      <c r="K7" s="445">
        <f t="shared" si="1"/>
        <v>2000</v>
      </c>
      <c r="L7" s="445">
        <f t="shared" si="1"/>
        <v>2000</v>
      </c>
      <c r="M7" s="445">
        <f t="shared" si="1"/>
        <v>2000</v>
      </c>
      <c r="N7" s="445">
        <f t="shared" si="1"/>
        <v>2000</v>
      </c>
      <c r="O7" s="445">
        <f t="shared" si="1"/>
        <v>2000</v>
      </c>
      <c r="P7" s="475">
        <f t="shared" si="1"/>
        <v>2000</v>
      </c>
      <c r="Q7" s="479">
        <f>+SUM(E7:P7)</f>
        <v>24000</v>
      </c>
      <c r="R7" s="464"/>
      <c r="S7" s="107"/>
      <c r="T7" s="107"/>
      <c r="U7" s="107"/>
      <c r="V7" s="107"/>
      <c r="W7" s="107"/>
      <c r="X7" s="107"/>
      <c r="Y7" s="107"/>
      <c r="Z7" s="107"/>
      <c r="AA7" s="107"/>
      <c r="AB7" s="107"/>
      <c r="AC7" s="107"/>
    </row>
    <row r="8" spans="1:29" s="108" customFormat="1" ht="14.4" customHeight="1" thickBot="1" x14ac:dyDescent="0.35">
      <c r="A8" s="106"/>
      <c r="B8" s="463" t="s">
        <v>166</v>
      </c>
      <c r="C8" s="452" t="s">
        <v>249</v>
      </c>
      <c r="D8" s="437" t="s">
        <v>260</v>
      </c>
      <c r="E8" s="446">
        <f>+IF(D8="Yes",'Marketing List - Dropdowns'!$P$4,0)</f>
        <v>350</v>
      </c>
      <c r="F8" s="447">
        <f t="shared" si="1"/>
        <v>350</v>
      </c>
      <c r="G8" s="447">
        <f t="shared" si="1"/>
        <v>350</v>
      </c>
      <c r="H8" s="447">
        <f t="shared" si="1"/>
        <v>350</v>
      </c>
      <c r="I8" s="447">
        <f t="shared" si="1"/>
        <v>350</v>
      </c>
      <c r="J8" s="447">
        <f t="shared" si="1"/>
        <v>350</v>
      </c>
      <c r="K8" s="447">
        <f t="shared" si="1"/>
        <v>350</v>
      </c>
      <c r="L8" s="447">
        <f t="shared" si="1"/>
        <v>350</v>
      </c>
      <c r="M8" s="447">
        <f t="shared" si="1"/>
        <v>350</v>
      </c>
      <c r="N8" s="447">
        <f t="shared" si="1"/>
        <v>350</v>
      </c>
      <c r="O8" s="447">
        <f t="shared" si="1"/>
        <v>350</v>
      </c>
      <c r="P8" s="476">
        <f t="shared" si="1"/>
        <v>350</v>
      </c>
      <c r="Q8" s="479">
        <f>+SUM(E8:P8)</f>
        <v>4200</v>
      </c>
      <c r="R8" s="464"/>
      <c r="S8" s="107"/>
      <c r="T8" s="107"/>
      <c r="U8" s="107"/>
      <c r="V8" s="107"/>
      <c r="W8" s="107"/>
      <c r="X8" s="107"/>
      <c r="Y8" s="107"/>
      <c r="Z8" s="107"/>
      <c r="AA8" s="107"/>
      <c r="AB8" s="107"/>
      <c r="AC8" s="107"/>
    </row>
    <row r="9" spans="1:29" s="108" customFormat="1" ht="14.4" customHeight="1" thickBot="1" x14ac:dyDescent="0.35">
      <c r="A9" s="106"/>
      <c r="B9" s="463" t="s">
        <v>166</v>
      </c>
      <c r="C9" s="452" t="s">
        <v>250</v>
      </c>
      <c r="D9" s="438" t="s">
        <v>260</v>
      </c>
      <c r="E9" s="444">
        <v>0</v>
      </c>
      <c r="F9" s="444">
        <v>0</v>
      </c>
      <c r="G9" s="444">
        <v>350</v>
      </c>
      <c r="H9" s="444">
        <f>E9</f>
        <v>0</v>
      </c>
      <c r="I9" s="444">
        <f>F9</f>
        <v>0</v>
      </c>
      <c r="J9" s="444">
        <f>G9</f>
        <v>350</v>
      </c>
      <c r="K9" s="444">
        <f>H9</f>
        <v>0</v>
      </c>
      <c r="L9" s="444">
        <f>I9</f>
        <v>0</v>
      </c>
      <c r="M9" s="444">
        <f>G9</f>
        <v>350</v>
      </c>
      <c r="N9" s="444">
        <f>H9</f>
        <v>0</v>
      </c>
      <c r="O9" s="444">
        <f>I9</f>
        <v>0</v>
      </c>
      <c r="P9" s="474">
        <f>J9</f>
        <v>350</v>
      </c>
      <c r="Q9" s="479">
        <f>+SUM(E9:P9)</f>
        <v>1400</v>
      </c>
      <c r="R9" s="464"/>
      <c r="S9" s="107"/>
      <c r="T9" s="109"/>
      <c r="U9" s="107"/>
      <c r="V9" s="107"/>
      <c r="W9" s="107"/>
      <c r="X9" s="107"/>
      <c r="Y9" s="109"/>
      <c r="Z9" s="107"/>
      <c r="AA9" s="107"/>
      <c r="AB9" s="107"/>
      <c r="AC9" s="107"/>
    </row>
    <row r="10" spans="1:29" s="108" customFormat="1" ht="14.4" customHeight="1" thickBot="1" x14ac:dyDescent="0.35">
      <c r="A10" s="106"/>
      <c r="B10" s="463" t="s">
        <v>166</v>
      </c>
      <c r="C10" s="452" t="s">
        <v>436</v>
      </c>
      <c r="D10" s="438" t="s">
        <v>260</v>
      </c>
      <c r="E10" s="444">
        <f>+IF(D10="Yes",'Marketing List - Dropdowns'!$S$4,0)</f>
        <v>300</v>
      </c>
      <c r="F10" s="444">
        <f t="shared" ref="F10:P10" si="2">+E10</f>
        <v>300</v>
      </c>
      <c r="G10" s="444">
        <f t="shared" si="2"/>
        <v>300</v>
      </c>
      <c r="H10" s="444">
        <f t="shared" si="2"/>
        <v>300</v>
      </c>
      <c r="I10" s="444">
        <f t="shared" si="2"/>
        <v>300</v>
      </c>
      <c r="J10" s="444">
        <f t="shared" si="2"/>
        <v>300</v>
      </c>
      <c r="K10" s="444">
        <f t="shared" si="2"/>
        <v>300</v>
      </c>
      <c r="L10" s="444">
        <f t="shared" si="2"/>
        <v>300</v>
      </c>
      <c r="M10" s="444">
        <f t="shared" si="2"/>
        <v>300</v>
      </c>
      <c r="N10" s="444">
        <f t="shared" si="2"/>
        <v>300</v>
      </c>
      <c r="O10" s="444">
        <f t="shared" si="2"/>
        <v>300</v>
      </c>
      <c r="P10" s="474">
        <f t="shared" si="2"/>
        <v>300</v>
      </c>
      <c r="Q10" s="479">
        <f>+SUM(E10:P10)</f>
        <v>3600</v>
      </c>
      <c r="R10" s="464"/>
      <c r="S10" s="107"/>
      <c r="T10" s="110"/>
      <c r="U10" s="107"/>
      <c r="V10" s="107"/>
      <c r="W10" s="107"/>
      <c r="X10" s="107"/>
      <c r="Y10" s="109"/>
      <c r="Z10" s="107"/>
      <c r="AA10" s="107"/>
      <c r="AB10" s="107"/>
      <c r="AC10" s="107"/>
    </row>
    <row r="11" spans="1:29" s="108" customFormat="1" ht="14.4" customHeight="1" thickBot="1" x14ac:dyDescent="0.35">
      <c r="A11" s="106"/>
      <c r="B11" s="463" t="s">
        <v>166</v>
      </c>
      <c r="C11" s="452" t="s">
        <v>361</v>
      </c>
      <c r="D11" s="438"/>
      <c r="E11" s="444"/>
      <c r="F11" s="444"/>
      <c r="G11" s="444"/>
      <c r="H11" s="444"/>
      <c r="I11" s="444"/>
      <c r="J11" s="444"/>
      <c r="K11" s="444"/>
      <c r="L11" s="444"/>
      <c r="M11" s="444"/>
      <c r="N11" s="444"/>
      <c r="O11" s="444"/>
      <c r="P11" s="474"/>
      <c r="Q11" s="479"/>
      <c r="R11" s="464"/>
      <c r="S11" s="107"/>
      <c r="T11" s="110"/>
      <c r="U11" s="107"/>
      <c r="V11" s="107"/>
      <c r="W11" s="107"/>
      <c r="X11" s="107"/>
      <c r="Y11" s="109"/>
      <c r="Z11" s="107"/>
      <c r="AA11" s="107"/>
      <c r="AB11" s="107"/>
      <c r="AC11" s="107"/>
    </row>
    <row r="12" spans="1:29" s="108" customFormat="1" ht="14.4" customHeight="1" thickBot="1" x14ac:dyDescent="0.35">
      <c r="A12" s="106"/>
      <c r="B12" s="465" t="s">
        <v>169</v>
      </c>
      <c r="C12" s="453" t="s">
        <v>362</v>
      </c>
      <c r="D12" s="438" t="s">
        <v>260</v>
      </c>
      <c r="E12" s="444">
        <f>IF(D12="Yes",'Marketing List - Dropdowns'!G25,0)</f>
        <v>63</v>
      </c>
      <c r="F12" s="444">
        <f>E12</f>
        <v>63</v>
      </c>
      <c r="G12" s="444">
        <f t="shared" ref="G12:P12" si="3">F12</f>
        <v>63</v>
      </c>
      <c r="H12" s="444">
        <f t="shared" si="3"/>
        <v>63</v>
      </c>
      <c r="I12" s="444">
        <f t="shared" si="3"/>
        <v>63</v>
      </c>
      <c r="J12" s="444">
        <f t="shared" si="3"/>
        <v>63</v>
      </c>
      <c r="K12" s="444">
        <f t="shared" si="3"/>
        <v>63</v>
      </c>
      <c r="L12" s="444">
        <f t="shared" si="3"/>
        <v>63</v>
      </c>
      <c r="M12" s="444">
        <f t="shared" si="3"/>
        <v>63</v>
      </c>
      <c r="N12" s="444">
        <f t="shared" si="3"/>
        <v>63</v>
      </c>
      <c r="O12" s="444">
        <f t="shared" si="3"/>
        <v>63</v>
      </c>
      <c r="P12" s="474">
        <f t="shared" si="3"/>
        <v>63</v>
      </c>
      <c r="Q12" s="479">
        <f t="shared" ref="Q12:Q31" si="4">+SUM(E12:P12)</f>
        <v>756</v>
      </c>
      <c r="R12" s="464"/>
      <c r="S12" s="107"/>
      <c r="T12" s="110"/>
      <c r="U12" s="107"/>
      <c r="V12" s="107"/>
      <c r="W12" s="107"/>
      <c r="X12" s="107"/>
      <c r="Y12" s="109"/>
      <c r="Z12" s="107"/>
      <c r="AA12" s="107"/>
      <c r="AB12" s="107"/>
      <c r="AC12" s="107"/>
    </row>
    <row r="13" spans="1:29" s="108" customFormat="1" ht="14.4" customHeight="1" thickBot="1" x14ac:dyDescent="0.35">
      <c r="A13" s="106"/>
      <c r="B13" s="465" t="s">
        <v>169</v>
      </c>
      <c r="C13" s="453" t="s">
        <v>365</v>
      </c>
      <c r="D13" s="438">
        <v>2</v>
      </c>
      <c r="E13" s="444">
        <f>+INDEX('Marketing List - Dropdowns'!G19:G24,MATCH('Marketing Stack - Lease-Up'!D13,'Marketing List - Dropdowns'!F19:F31,0))</f>
        <v>818</v>
      </c>
      <c r="F13" s="444">
        <f t="shared" ref="F13:P13" si="5">+E13</f>
        <v>818</v>
      </c>
      <c r="G13" s="444">
        <f t="shared" si="5"/>
        <v>818</v>
      </c>
      <c r="H13" s="444">
        <f t="shared" si="5"/>
        <v>818</v>
      </c>
      <c r="I13" s="444">
        <f t="shared" si="5"/>
        <v>818</v>
      </c>
      <c r="J13" s="444">
        <f t="shared" si="5"/>
        <v>818</v>
      </c>
      <c r="K13" s="444">
        <f t="shared" si="5"/>
        <v>818</v>
      </c>
      <c r="L13" s="444">
        <f t="shared" si="5"/>
        <v>818</v>
      </c>
      <c r="M13" s="444">
        <f t="shared" si="5"/>
        <v>818</v>
      </c>
      <c r="N13" s="444">
        <f t="shared" si="5"/>
        <v>818</v>
      </c>
      <c r="O13" s="444">
        <f t="shared" si="5"/>
        <v>818</v>
      </c>
      <c r="P13" s="474">
        <f t="shared" si="5"/>
        <v>818</v>
      </c>
      <c r="Q13" s="479">
        <f t="shared" si="4"/>
        <v>9816</v>
      </c>
      <c r="R13" s="464" t="s">
        <v>438</v>
      </c>
      <c r="S13" s="107"/>
      <c r="T13" s="109"/>
      <c r="U13" s="107"/>
      <c r="V13" s="107"/>
      <c r="W13" s="107"/>
      <c r="X13" s="107"/>
      <c r="Y13" s="109"/>
      <c r="Z13" s="107"/>
      <c r="AA13" s="107"/>
      <c r="AB13" s="107"/>
      <c r="AC13" s="107"/>
    </row>
    <row r="14" spans="1:29" s="108" customFormat="1" ht="14.4" customHeight="1" thickBot="1" x14ac:dyDescent="0.35">
      <c r="A14" s="106"/>
      <c r="B14" s="463" t="s">
        <v>169</v>
      </c>
      <c r="C14" s="452" t="s">
        <v>254</v>
      </c>
      <c r="D14" s="438"/>
      <c r="E14" s="444"/>
      <c r="F14" s="444"/>
      <c r="G14" s="444"/>
      <c r="H14" s="444"/>
      <c r="I14" s="444"/>
      <c r="J14" s="444"/>
      <c r="K14" s="444"/>
      <c r="L14" s="444"/>
      <c r="M14" s="444"/>
      <c r="N14" s="444"/>
      <c r="O14" s="444"/>
      <c r="P14" s="474"/>
      <c r="Q14" s="479"/>
      <c r="R14" s="464"/>
      <c r="S14" s="107"/>
      <c r="T14" s="107"/>
      <c r="U14" s="107"/>
      <c r="V14" s="107"/>
      <c r="W14" s="107"/>
      <c r="X14" s="107"/>
      <c r="Y14" s="107"/>
      <c r="Z14" s="107"/>
      <c r="AA14" s="107"/>
      <c r="AB14" s="107"/>
      <c r="AC14" s="107"/>
    </row>
    <row r="15" spans="1:29" s="108" customFormat="1" ht="14.4" customHeight="1" thickBot="1" x14ac:dyDescent="0.35">
      <c r="A15" s="106"/>
      <c r="B15" s="463" t="s">
        <v>169</v>
      </c>
      <c r="C15" s="452" t="s">
        <v>363</v>
      </c>
      <c r="D15" s="438" t="s">
        <v>260</v>
      </c>
      <c r="E15" s="444">
        <f>IF(D15="Yes",'Marketing List - Dropdowns'!$G$37,0)</f>
        <v>380</v>
      </c>
      <c r="F15" s="444">
        <f>E15</f>
        <v>380</v>
      </c>
      <c r="G15" s="444">
        <f t="shared" ref="G15:P16" si="6">F15</f>
        <v>380</v>
      </c>
      <c r="H15" s="444">
        <f t="shared" si="6"/>
        <v>380</v>
      </c>
      <c r="I15" s="444">
        <f t="shared" si="6"/>
        <v>380</v>
      </c>
      <c r="J15" s="444">
        <f t="shared" si="6"/>
        <v>380</v>
      </c>
      <c r="K15" s="444">
        <f t="shared" si="6"/>
        <v>380</v>
      </c>
      <c r="L15" s="444">
        <f t="shared" si="6"/>
        <v>380</v>
      </c>
      <c r="M15" s="444">
        <f t="shared" si="6"/>
        <v>380</v>
      </c>
      <c r="N15" s="444">
        <f t="shared" si="6"/>
        <v>380</v>
      </c>
      <c r="O15" s="444">
        <f t="shared" si="6"/>
        <v>380</v>
      </c>
      <c r="P15" s="474">
        <f t="shared" si="6"/>
        <v>380</v>
      </c>
      <c r="Q15" s="479">
        <f>+SUM(E15:P15)</f>
        <v>4560</v>
      </c>
      <c r="R15" s="464"/>
      <c r="S15" s="107"/>
      <c r="T15" s="107"/>
      <c r="U15" s="107"/>
      <c r="V15" s="107"/>
      <c r="W15" s="107"/>
      <c r="X15" s="107"/>
      <c r="Y15" s="107"/>
      <c r="Z15" s="107"/>
      <c r="AA15" s="107"/>
      <c r="AB15" s="107"/>
      <c r="AC15" s="107"/>
    </row>
    <row r="16" spans="1:29" s="108" customFormat="1" ht="14.4" customHeight="1" thickBot="1" x14ac:dyDescent="0.35">
      <c r="A16" s="106"/>
      <c r="B16" s="466" t="s">
        <v>169</v>
      </c>
      <c r="C16" s="454" t="s">
        <v>366</v>
      </c>
      <c r="D16" s="438">
        <v>2</v>
      </c>
      <c r="E16" s="444">
        <f>+INDEX('Marketing List - Dropdowns'!G31:G36,MATCH('Marketing Stack - Lease-Up'!D16,'Marketing List - Dropdowns'!F31:F36,0))</f>
        <v>500</v>
      </c>
      <c r="F16" s="444">
        <f>E16</f>
        <v>500</v>
      </c>
      <c r="G16" s="444">
        <f t="shared" si="6"/>
        <v>500</v>
      </c>
      <c r="H16" s="444">
        <f t="shared" si="6"/>
        <v>500</v>
      </c>
      <c r="I16" s="444">
        <f t="shared" si="6"/>
        <v>500</v>
      </c>
      <c r="J16" s="444">
        <f t="shared" si="6"/>
        <v>500</v>
      </c>
      <c r="K16" s="444">
        <f t="shared" si="6"/>
        <v>500</v>
      </c>
      <c r="L16" s="444">
        <f t="shared" si="6"/>
        <v>500</v>
      </c>
      <c r="M16" s="444">
        <f t="shared" si="6"/>
        <v>500</v>
      </c>
      <c r="N16" s="444">
        <f t="shared" si="6"/>
        <v>500</v>
      </c>
      <c r="O16" s="444">
        <f t="shared" si="6"/>
        <v>500</v>
      </c>
      <c r="P16" s="474">
        <f t="shared" si="6"/>
        <v>500</v>
      </c>
      <c r="Q16" s="479">
        <f>+SUM(E16:P16)</f>
        <v>6000</v>
      </c>
      <c r="R16" s="464"/>
      <c r="S16" s="107"/>
      <c r="T16" s="107"/>
      <c r="U16" s="107"/>
      <c r="V16" s="107"/>
      <c r="W16" s="107"/>
      <c r="X16" s="107"/>
      <c r="Y16" s="107"/>
      <c r="Z16" s="107"/>
      <c r="AA16" s="107"/>
      <c r="AB16" s="107"/>
      <c r="AC16" s="107"/>
    </row>
    <row r="17" spans="1:29" s="108" customFormat="1" ht="14.4" customHeight="1" thickBot="1" x14ac:dyDescent="0.35">
      <c r="A17" s="106"/>
      <c r="B17" s="463" t="s">
        <v>166</v>
      </c>
      <c r="C17" s="452" t="s">
        <v>251</v>
      </c>
      <c r="D17" s="438"/>
      <c r="E17" s="444"/>
      <c r="F17" s="444"/>
      <c r="G17" s="444"/>
      <c r="H17" s="444"/>
      <c r="I17" s="444"/>
      <c r="J17" s="444"/>
      <c r="K17" s="444"/>
      <c r="L17" s="444"/>
      <c r="M17" s="444"/>
      <c r="N17" s="444"/>
      <c r="O17" s="444"/>
      <c r="P17" s="474"/>
      <c r="Q17" s="479">
        <f t="shared" si="4"/>
        <v>0</v>
      </c>
      <c r="R17" s="464"/>
      <c r="S17" s="107"/>
      <c r="T17" s="109"/>
      <c r="U17" s="107"/>
      <c r="V17" s="107"/>
      <c r="W17" s="107"/>
      <c r="X17" s="107"/>
      <c r="Y17" s="107"/>
      <c r="Z17" s="107"/>
      <c r="AA17" s="107"/>
      <c r="AB17" s="107"/>
      <c r="AC17" s="107"/>
    </row>
    <row r="18" spans="1:29" s="108" customFormat="1" ht="14.4" customHeight="1" thickBot="1" x14ac:dyDescent="0.35">
      <c r="A18" s="106"/>
      <c r="B18" s="463" t="s">
        <v>166</v>
      </c>
      <c r="C18" s="452" t="s">
        <v>435</v>
      </c>
      <c r="D18" s="438" t="s">
        <v>260</v>
      </c>
      <c r="E18" s="444">
        <v>229</v>
      </c>
      <c r="F18" s="444">
        <v>229</v>
      </c>
      <c r="G18" s="444">
        <v>229</v>
      </c>
      <c r="H18" s="444">
        <v>229</v>
      </c>
      <c r="I18" s="444">
        <v>229</v>
      </c>
      <c r="J18" s="444">
        <v>229</v>
      </c>
      <c r="K18" s="444">
        <v>229</v>
      </c>
      <c r="L18" s="444">
        <v>229</v>
      </c>
      <c r="M18" s="444">
        <v>229</v>
      </c>
      <c r="N18" s="444">
        <v>229</v>
      </c>
      <c r="O18" s="444">
        <v>229</v>
      </c>
      <c r="P18" s="474">
        <v>229</v>
      </c>
      <c r="Q18" s="479">
        <f t="shared" si="4"/>
        <v>2748</v>
      </c>
      <c r="R18" s="464"/>
      <c r="S18" s="107"/>
      <c r="T18" s="109"/>
      <c r="U18" s="107"/>
      <c r="V18" s="107"/>
      <c r="W18" s="107"/>
      <c r="X18" s="107"/>
      <c r="Y18" s="107"/>
      <c r="Z18" s="107"/>
      <c r="AA18" s="107"/>
      <c r="AB18" s="107"/>
      <c r="AC18" s="107"/>
    </row>
    <row r="19" spans="1:29" s="108" customFormat="1" ht="14.4" customHeight="1" thickBot="1" x14ac:dyDescent="0.35">
      <c r="A19" s="106"/>
      <c r="B19" s="467" t="s">
        <v>166</v>
      </c>
      <c r="C19" s="455" t="s">
        <v>252</v>
      </c>
      <c r="D19" s="438"/>
      <c r="E19" s="444"/>
      <c r="F19" s="444"/>
      <c r="G19" s="444"/>
      <c r="H19" s="444"/>
      <c r="I19" s="444"/>
      <c r="J19" s="444"/>
      <c r="K19" s="444"/>
      <c r="L19" s="444"/>
      <c r="M19" s="444"/>
      <c r="N19" s="444"/>
      <c r="O19" s="444"/>
      <c r="P19" s="474"/>
      <c r="Q19" s="479">
        <f t="shared" si="4"/>
        <v>0</v>
      </c>
      <c r="R19" s="464"/>
      <c r="S19" s="107"/>
      <c r="T19" s="107"/>
      <c r="U19" s="107"/>
      <c r="V19" s="107"/>
      <c r="W19" s="107"/>
      <c r="X19" s="107"/>
      <c r="Y19" s="107"/>
      <c r="Z19" s="107"/>
      <c r="AA19" s="107"/>
      <c r="AB19" s="107"/>
      <c r="AC19" s="107"/>
    </row>
    <row r="20" spans="1:29" s="108" customFormat="1" ht="14.4" customHeight="1" thickBot="1" x14ac:dyDescent="0.35">
      <c r="A20" s="106"/>
      <c r="B20" s="467" t="s">
        <v>166</v>
      </c>
      <c r="C20" s="455" t="s">
        <v>253</v>
      </c>
      <c r="D20" s="438" t="s">
        <v>260</v>
      </c>
      <c r="E20" s="444">
        <f>+IF(D20="Yes",'Marketing List - Dropdowns'!$N$18,0)</f>
        <v>55</v>
      </c>
      <c r="F20" s="444">
        <f t="shared" ref="F20:P21" si="7">+E20</f>
        <v>55</v>
      </c>
      <c r="G20" s="444">
        <f t="shared" si="7"/>
        <v>55</v>
      </c>
      <c r="H20" s="444">
        <f t="shared" si="7"/>
        <v>55</v>
      </c>
      <c r="I20" s="444">
        <f t="shared" si="7"/>
        <v>55</v>
      </c>
      <c r="J20" s="444">
        <f t="shared" si="7"/>
        <v>55</v>
      </c>
      <c r="K20" s="444">
        <f t="shared" si="7"/>
        <v>55</v>
      </c>
      <c r="L20" s="444">
        <f t="shared" si="7"/>
        <v>55</v>
      </c>
      <c r="M20" s="444">
        <f t="shared" si="7"/>
        <v>55</v>
      </c>
      <c r="N20" s="444">
        <f t="shared" si="7"/>
        <v>55</v>
      </c>
      <c r="O20" s="444">
        <f t="shared" si="7"/>
        <v>55</v>
      </c>
      <c r="P20" s="474">
        <f t="shared" si="7"/>
        <v>55</v>
      </c>
      <c r="Q20" s="479">
        <f t="shared" si="4"/>
        <v>660</v>
      </c>
      <c r="R20" s="464"/>
      <c r="S20" s="107"/>
      <c r="T20" s="107"/>
      <c r="U20" s="107"/>
      <c r="V20" s="107"/>
      <c r="W20" s="107"/>
      <c r="X20" s="107"/>
      <c r="Y20" s="107"/>
      <c r="Z20" s="107"/>
      <c r="AA20" s="107"/>
      <c r="AB20" s="107"/>
      <c r="AC20" s="107"/>
    </row>
    <row r="21" spans="1:29" s="108" customFormat="1" ht="14.4" customHeight="1" thickBot="1" x14ac:dyDescent="0.35">
      <c r="A21" s="106"/>
      <c r="B21" s="463" t="s">
        <v>166</v>
      </c>
      <c r="C21" s="452" t="s">
        <v>440</v>
      </c>
      <c r="D21" s="438" t="s">
        <v>260</v>
      </c>
      <c r="E21" s="444">
        <f>+IF(D21="Yes",'Marketing List - Dropdowns'!Q18*'Marketing Stack - Lease-Up'!$B$3,0)</f>
        <v>0</v>
      </c>
      <c r="F21" s="444">
        <f t="shared" si="7"/>
        <v>0</v>
      </c>
      <c r="G21" s="444">
        <f t="shared" si="7"/>
        <v>0</v>
      </c>
      <c r="H21" s="444">
        <f t="shared" si="7"/>
        <v>0</v>
      </c>
      <c r="I21" s="444">
        <f t="shared" si="7"/>
        <v>0</v>
      </c>
      <c r="J21" s="444">
        <f t="shared" si="7"/>
        <v>0</v>
      </c>
      <c r="K21" s="444">
        <f t="shared" si="7"/>
        <v>0</v>
      </c>
      <c r="L21" s="444">
        <f t="shared" si="7"/>
        <v>0</v>
      </c>
      <c r="M21" s="444">
        <f t="shared" si="7"/>
        <v>0</v>
      </c>
      <c r="N21" s="444">
        <f t="shared" si="7"/>
        <v>0</v>
      </c>
      <c r="O21" s="444">
        <f t="shared" si="7"/>
        <v>0</v>
      </c>
      <c r="P21" s="474">
        <f t="shared" si="7"/>
        <v>0</v>
      </c>
      <c r="Q21" s="479">
        <f t="shared" si="4"/>
        <v>0</v>
      </c>
      <c r="R21" s="464"/>
      <c r="S21" s="107"/>
      <c r="T21" s="107"/>
      <c r="U21" s="107"/>
      <c r="V21" s="107"/>
      <c r="W21" s="107"/>
      <c r="X21" s="107"/>
      <c r="Y21" s="107"/>
      <c r="Z21" s="107"/>
      <c r="AA21" s="107"/>
      <c r="AB21" s="107"/>
      <c r="AC21" s="107"/>
    </row>
    <row r="22" spans="1:29" s="108" customFormat="1" ht="14.4" customHeight="1" thickBot="1" x14ac:dyDescent="0.35">
      <c r="A22" s="106"/>
      <c r="B22" s="466" t="s">
        <v>166</v>
      </c>
      <c r="C22" s="454" t="s">
        <v>434</v>
      </c>
      <c r="D22" s="438" t="s">
        <v>260</v>
      </c>
      <c r="E22" s="444">
        <v>400</v>
      </c>
      <c r="F22" s="444"/>
      <c r="G22" s="444"/>
      <c r="H22" s="444"/>
      <c r="I22" s="444"/>
      <c r="J22" s="444"/>
      <c r="K22" s="444"/>
      <c r="L22" s="444"/>
      <c r="M22" s="444"/>
      <c r="N22" s="444"/>
      <c r="O22" s="444"/>
      <c r="P22" s="474"/>
      <c r="Q22" s="479">
        <f t="shared" si="4"/>
        <v>400</v>
      </c>
      <c r="R22" s="464"/>
      <c r="S22" s="107"/>
      <c r="T22" s="107"/>
      <c r="U22" s="107"/>
      <c r="V22" s="107"/>
      <c r="W22" s="107"/>
      <c r="X22" s="107"/>
      <c r="Y22" s="107"/>
      <c r="Z22" s="107"/>
      <c r="AA22" s="107"/>
      <c r="AB22" s="107"/>
      <c r="AC22" s="107"/>
    </row>
    <row r="23" spans="1:29" s="108" customFormat="1" ht="14.4" customHeight="1" thickBot="1" x14ac:dyDescent="0.35">
      <c r="A23" s="106"/>
      <c r="B23" s="466" t="s">
        <v>166</v>
      </c>
      <c r="C23" s="454"/>
      <c r="D23" s="438"/>
      <c r="E23" s="444"/>
      <c r="F23" s="444"/>
      <c r="G23" s="444"/>
      <c r="H23" s="444"/>
      <c r="I23" s="444"/>
      <c r="J23" s="444"/>
      <c r="K23" s="444"/>
      <c r="L23" s="444"/>
      <c r="M23" s="444"/>
      <c r="N23" s="444"/>
      <c r="O23" s="444"/>
      <c r="P23" s="474"/>
      <c r="Q23" s="479">
        <f t="shared" si="4"/>
        <v>0</v>
      </c>
      <c r="R23" s="464"/>
      <c r="S23" s="107"/>
      <c r="T23" s="107"/>
      <c r="U23" s="107"/>
      <c r="V23" s="107"/>
      <c r="W23" s="107"/>
      <c r="X23" s="107"/>
      <c r="Y23" s="107"/>
      <c r="Z23" s="107"/>
      <c r="AA23" s="107"/>
      <c r="AB23" s="107"/>
      <c r="AC23" s="107"/>
    </row>
    <row r="24" spans="1:29" s="108" customFormat="1" ht="14.4" customHeight="1" thickBot="1" x14ac:dyDescent="0.35">
      <c r="A24" s="106"/>
      <c r="B24" s="465" t="s">
        <v>166</v>
      </c>
      <c r="C24" s="453" t="s">
        <v>290</v>
      </c>
      <c r="D24" s="438"/>
      <c r="E24" s="444"/>
      <c r="F24" s="444"/>
      <c r="G24" s="444"/>
      <c r="H24" s="444"/>
      <c r="I24" s="444"/>
      <c r="J24" s="444"/>
      <c r="K24" s="444"/>
      <c r="L24" s="444"/>
      <c r="M24" s="444"/>
      <c r="N24" s="444"/>
      <c r="O24" s="444"/>
      <c r="P24" s="474"/>
      <c r="Q24" s="479"/>
      <c r="R24" s="464"/>
      <c r="S24" s="107"/>
      <c r="T24" s="107"/>
      <c r="U24" s="107"/>
      <c r="V24" s="107"/>
      <c r="W24" s="107"/>
      <c r="X24" s="107"/>
      <c r="Y24" s="107"/>
      <c r="Z24" s="107"/>
      <c r="AA24" s="107"/>
      <c r="AB24" s="107"/>
      <c r="AC24" s="107"/>
    </row>
    <row r="25" spans="1:29" s="108" customFormat="1" ht="14.4" customHeight="1" thickBot="1" x14ac:dyDescent="0.35">
      <c r="A25" s="106"/>
      <c r="B25" s="467" t="s">
        <v>166</v>
      </c>
      <c r="C25" s="455" t="s">
        <v>291</v>
      </c>
      <c r="D25" s="439" t="s">
        <v>260</v>
      </c>
      <c r="E25" s="444">
        <f>+IF(D25="Yes",'Marketing List - Dropdowns'!$T$19,0)</f>
        <v>81</v>
      </c>
      <c r="F25" s="444">
        <f>+E25</f>
        <v>81</v>
      </c>
      <c r="G25" s="444">
        <f t="shared" ref="G25:P25" si="8">+F25</f>
        <v>81</v>
      </c>
      <c r="H25" s="444">
        <f t="shared" si="8"/>
        <v>81</v>
      </c>
      <c r="I25" s="444">
        <f t="shared" si="8"/>
        <v>81</v>
      </c>
      <c r="J25" s="444">
        <f t="shared" si="8"/>
        <v>81</v>
      </c>
      <c r="K25" s="444">
        <f t="shared" si="8"/>
        <v>81</v>
      </c>
      <c r="L25" s="444">
        <f t="shared" si="8"/>
        <v>81</v>
      </c>
      <c r="M25" s="444">
        <f t="shared" si="8"/>
        <v>81</v>
      </c>
      <c r="N25" s="444">
        <f t="shared" si="8"/>
        <v>81</v>
      </c>
      <c r="O25" s="444">
        <f t="shared" si="8"/>
        <v>81</v>
      </c>
      <c r="P25" s="474">
        <f t="shared" si="8"/>
        <v>81</v>
      </c>
      <c r="Q25" s="479">
        <f t="shared" si="4"/>
        <v>972</v>
      </c>
      <c r="R25" s="464"/>
      <c r="S25" s="107"/>
      <c r="T25" s="107"/>
      <c r="U25" s="107"/>
      <c r="V25" s="107"/>
      <c r="W25" s="107"/>
      <c r="X25" s="107"/>
      <c r="Y25" s="107"/>
      <c r="Z25" s="107"/>
      <c r="AA25" s="107"/>
      <c r="AB25" s="107"/>
      <c r="AC25" s="107"/>
    </row>
    <row r="26" spans="1:29" s="108" customFormat="1" ht="14.4" customHeight="1" thickBot="1" x14ac:dyDescent="0.35">
      <c r="A26" s="106"/>
      <c r="B26" s="467" t="s">
        <v>166</v>
      </c>
      <c r="C26" s="455" t="s">
        <v>292</v>
      </c>
      <c r="D26" s="439" t="s">
        <v>260</v>
      </c>
      <c r="E26" s="444">
        <f>+IF(D26="Yes",'Marketing List - Dropdowns'!T18,0)</f>
        <v>375</v>
      </c>
      <c r="F26" s="444">
        <v>0</v>
      </c>
      <c r="G26" s="444">
        <v>0</v>
      </c>
      <c r="H26" s="444">
        <v>0</v>
      </c>
      <c r="I26" s="444">
        <v>0</v>
      </c>
      <c r="J26" s="444">
        <v>0</v>
      </c>
      <c r="K26" s="444">
        <v>0</v>
      </c>
      <c r="L26" s="444">
        <v>0</v>
      </c>
      <c r="M26" s="444">
        <v>0</v>
      </c>
      <c r="N26" s="444">
        <v>0</v>
      </c>
      <c r="O26" s="444">
        <v>0</v>
      </c>
      <c r="P26" s="474">
        <v>0</v>
      </c>
      <c r="Q26" s="479">
        <f t="shared" si="4"/>
        <v>375</v>
      </c>
      <c r="R26" s="464"/>
      <c r="S26" s="107"/>
      <c r="T26" s="107"/>
      <c r="U26" s="107"/>
      <c r="V26" s="107"/>
      <c r="W26" s="107"/>
      <c r="X26" s="107"/>
      <c r="Y26" s="107"/>
      <c r="Z26" s="107"/>
      <c r="AA26" s="107"/>
      <c r="AB26" s="107"/>
      <c r="AC26" s="107"/>
    </row>
    <row r="27" spans="1:29" s="108" customFormat="1" ht="14.4" customHeight="1" thickBot="1" x14ac:dyDescent="0.35">
      <c r="A27" s="106"/>
      <c r="B27" s="467" t="s">
        <v>166</v>
      </c>
      <c r="C27" s="455" t="s">
        <v>293</v>
      </c>
      <c r="D27" s="439" t="s">
        <v>260</v>
      </c>
      <c r="E27" s="444">
        <f>+IF(D27="Yes",'Marketing List - Dropdowns'!$W$19,0)</f>
        <v>199</v>
      </c>
      <c r="F27" s="444">
        <f>+E27</f>
        <v>199</v>
      </c>
      <c r="G27" s="444">
        <f t="shared" ref="G27:P27" si="9">+F27</f>
        <v>199</v>
      </c>
      <c r="H27" s="444">
        <f t="shared" si="9"/>
        <v>199</v>
      </c>
      <c r="I27" s="444">
        <f t="shared" si="9"/>
        <v>199</v>
      </c>
      <c r="J27" s="444">
        <f t="shared" si="9"/>
        <v>199</v>
      </c>
      <c r="K27" s="444">
        <f t="shared" si="9"/>
        <v>199</v>
      </c>
      <c r="L27" s="444">
        <f t="shared" si="9"/>
        <v>199</v>
      </c>
      <c r="M27" s="444">
        <f t="shared" si="9"/>
        <v>199</v>
      </c>
      <c r="N27" s="444">
        <f t="shared" si="9"/>
        <v>199</v>
      </c>
      <c r="O27" s="444">
        <f t="shared" si="9"/>
        <v>199</v>
      </c>
      <c r="P27" s="474">
        <f t="shared" si="9"/>
        <v>199</v>
      </c>
      <c r="Q27" s="479">
        <f t="shared" si="4"/>
        <v>2388</v>
      </c>
      <c r="R27" s="464"/>
      <c r="S27" s="107"/>
      <c r="T27" s="107"/>
      <c r="U27" s="107"/>
      <c r="V27" s="107"/>
      <c r="W27" s="107"/>
      <c r="X27" s="107"/>
      <c r="Y27" s="107"/>
      <c r="Z27" s="107"/>
      <c r="AA27" s="107"/>
      <c r="AB27" s="107"/>
      <c r="AC27" s="107"/>
    </row>
    <row r="28" spans="1:29" s="108" customFormat="1" ht="14.4" customHeight="1" thickBot="1" x14ac:dyDescent="0.35">
      <c r="A28" s="106"/>
      <c r="B28" s="467" t="s">
        <v>166</v>
      </c>
      <c r="C28" s="455" t="s">
        <v>294</v>
      </c>
      <c r="D28" s="439" t="s">
        <v>260</v>
      </c>
      <c r="E28" s="444">
        <f>+IF(D28="Yes",'Marketing List - Dropdowns'!$W$18,0)</f>
        <v>600</v>
      </c>
      <c r="F28" s="444">
        <v>0</v>
      </c>
      <c r="G28" s="444">
        <v>0</v>
      </c>
      <c r="H28" s="444">
        <v>0</v>
      </c>
      <c r="I28" s="444">
        <v>0</v>
      </c>
      <c r="J28" s="444">
        <v>0</v>
      </c>
      <c r="K28" s="444">
        <v>0</v>
      </c>
      <c r="L28" s="444">
        <v>0</v>
      </c>
      <c r="M28" s="444">
        <v>0</v>
      </c>
      <c r="N28" s="444">
        <v>0</v>
      </c>
      <c r="O28" s="444">
        <v>0</v>
      </c>
      <c r="P28" s="474">
        <v>0</v>
      </c>
      <c r="Q28" s="479">
        <f t="shared" si="4"/>
        <v>600</v>
      </c>
      <c r="R28" s="464"/>
      <c r="S28" s="107"/>
      <c r="T28" s="107"/>
      <c r="U28" s="107"/>
      <c r="V28" s="107"/>
      <c r="W28" s="107"/>
      <c r="X28" s="107"/>
      <c r="Y28" s="107"/>
      <c r="Z28" s="107"/>
      <c r="AA28" s="107"/>
      <c r="AB28" s="107"/>
      <c r="AC28" s="107"/>
    </row>
    <row r="29" spans="1:29" s="108" customFormat="1" ht="14.4" customHeight="1" thickBot="1" x14ac:dyDescent="0.35">
      <c r="A29" s="106"/>
      <c r="B29" s="463" t="s">
        <v>168</v>
      </c>
      <c r="C29" s="452" t="s">
        <v>437</v>
      </c>
      <c r="D29" s="438"/>
      <c r="E29" s="444">
        <v>2000</v>
      </c>
      <c r="F29" s="444">
        <f>E29</f>
        <v>2000</v>
      </c>
      <c r="G29" s="444">
        <f t="shared" ref="G29:P30" si="10">F29</f>
        <v>2000</v>
      </c>
      <c r="H29" s="444">
        <f t="shared" si="10"/>
        <v>2000</v>
      </c>
      <c r="I29" s="444">
        <f t="shared" si="10"/>
        <v>2000</v>
      </c>
      <c r="J29" s="444">
        <f t="shared" si="10"/>
        <v>2000</v>
      </c>
      <c r="K29" s="444">
        <f t="shared" si="10"/>
        <v>2000</v>
      </c>
      <c r="L29" s="444">
        <f t="shared" si="10"/>
        <v>2000</v>
      </c>
      <c r="M29" s="444">
        <f t="shared" si="10"/>
        <v>2000</v>
      </c>
      <c r="N29" s="444">
        <f t="shared" si="10"/>
        <v>2000</v>
      </c>
      <c r="O29" s="444">
        <f t="shared" si="10"/>
        <v>2000</v>
      </c>
      <c r="P29" s="474">
        <f t="shared" si="10"/>
        <v>2000</v>
      </c>
      <c r="Q29" s="479">
        <f t="shared" si="4"/>
        <v>24000</v>
      </c>
      <c r="R29" s="464"/>
      <c r="S29" s="107"/>
      <c r="T29" s="107"/>
      <c r="U29" s="107"/>
      <c r="V29" s="107"/>
      <c r="W29" s="107"/>
      <c r="X29" s="107"/>
      <c r="Y29" s="107"/>
      <c r="Z29" s="107"/>
      <c r="AA29" s="107"/>
      <c r="AB29" s="107"/>
      <c r="AC29" s="107"/>
    </row>
    <row r="30" spans="1:29" s="108" customFormat="1" ht="14.4" customHeight="1" thickBot="1" x14ac:dyDescent="0.35">
      <c r="A30" s="106"/>
      <c r="B30" s="463" t="s">
        <v>167</v>
      </c>
      <c r="C30" s="452" t="s">
        <v>256</v>
      </c>
      <c r="D30" s="440"/>
      <c r="E30" s="444">
        <v>2750</v>
      </c>
      <c r="F30" s="444">
        <f>E30</f>
        <v>2750</v>
      </c>
      <c r="G30" s="444">
        <f t="shared" si="10"/>
        <v>2750</v>
      </c>
      <c r="H30" s="444">
        <f t="shared" si="10"/>
        <v>2750</v>
      </c>
      <c r="I30" s="444">
        <f t="shared" si="10"/>
        <v>2750</v>
      </c>
      <c r="J30" s="444">
        <f t="shared" si="10"/>
        <v>2750</v>
      </c>
      <c r="K30" s="444">
        <f t="shared" si="10"/>
        <v>2750</v>
      </c>
      <c r="L30" s="444">
        <f t="shared" si="10"/>
        <v>2750</v>
      </c>
      <c r="M30" s="444">
        <f t="shared" si="10"/>
        <v>2750</v>
      </c>
      <c r="N30" s="444">
        <f t="shared" si="10"/>
        <v>2750</v>
      </c>
      <c r="O30" s="444">
        <f t="shared" si="10"/>
        <v>2750</v>
      </c>
      <c r="P30" s="474">
        <f t="shared" si="10"/>
        <v>2750</v>
      </c>
      <c r="Q30" s="479">
        <f t="shared" si="4"/>
        <v>33000</v>
      </c>
      <c r="R30" s="464"/>
      <c r="S30" s="107"/>
      <c r="T30" s="107"/>
      <c r="U30" s="107"/>
      <c r="V30" s="107"/>
      <c r="W30" s="107"/>
      <c r="X30" s="107"/>
      <c r="Y30" s="107"/>
      <c r="Z30" s="107"/>
      <c r="AA30" s="107"/>
      <c r="AB30" s="107"/>
      <c r="AC30" s="107"/>
    </row>
    <row r="31" spans="1:29" s="108" customFormat="1" ht="14.4" customHeight="1" outlineLevel="1" thickBot="1" x14ac:dyDescent="0.35">
      <c r="A31" s="106"/>
      <c r="B31" s="468" t="s">
        <v>166</v>
      </c>
      <c r="C31" s="456"/>
      <c r="D31" s="440"/>
      <c r="E31" s="448"/>
      <c r="F31" s="448"/>
      <c r="G31" s="448"/>
      <c r="H31" s="448"/>
      <c r="I31" s="448"/>
      <c r="J31" s="448"/>
      <c r="K31" s="448"/>
      <c r="L31" s="448"/>
      <c r="M31" s="448"/>
      <c r="N31" s="448"/>
      <c r="O31" s="448"/>
      <c r="P31" s="477"/>
      <c r="Q31" s="479">
        <f t="shared" si="4"/>
        <v>0</v>
      </c>
      <c r="R31" s="464"/>
      <c r="S31" s="107"/>
      <c r="T31" s="107"/>
      <c r="U31" s="107"/>
      <c r="V31" s="107"/>
      <c r="W31" s="107"/>
      <c r="X31" s="107"/>
      <c r="Y31" s="107"/>
      <c r="Z31" s="107"/>
      <c r="AA31" s="107"/>
      <c r="AB31" s="107"/>
      <c r="AC31" s="107"/>
    </row>
    <row r="32" spans="1:29" s="108" customFormat="1" ht="14.4" customHeight="1" outlineLevel="1" thickBot="1" x14ac:dyDescent="0.35">
      <c r="A32" s="106"/>
      <c r="B32" s="463" t="s">
        <v>166</v>
      </c>
      <c r="C32" s="452"/>
      <c r="D32" s="438"/>
      <c r="E32" s="444"/>
      <c r="F32" s="444"/>
      <c r="G32" s="444"/>
      <c r="H32" s="444"/>
      <c r="I32" s="444"/>
      <c r="J32" s="444"/>
      <c r="K32" s="444"/>
      <c r="L32" s="444"/>
      <c r="M32" s="444"/>
      <c r="N32" s="444"/>
      <c r="O32" s="444"/>
      <c r="P32" s="474"/>
      <c r="Q32" s="479"/>
      <c r="R32" s="464"/>
      <c r="S32" s="107"/>
      <c r="T32" s="107"/>
      <c r="U32" s="107"/>
      <c r="V32" s="107"/>
      <c r="W32" s="107"/>
      <c r="X32" s="107"/>
      <c r="Y32" s="107"/>
      <c r="Z32" s="107"/>
      <c r="AA32" s="107"/>
      <c r="AB32" s="107"/>
      <c r="AC32" s="107"/>
    </row>
    <row r="33" spans="1:29" s="108" customFormat="1" ht="14.4" customHeight="1" outlineLevel="1" thickBot="1" x14ac:dyDescent="0.35">
      <c r="A33" s="106"/>
      <c r="B33" s="463" t="s">
        <v>166</v>
      </c>
      <c r="C33" s="452"/>
      <c r="D33" s="438"/>
      <c r="E33" s="444"/>
      <c r="F33" s="444"/>
      <c r="G33" s="444"/>
      <c r="H33" s="444"/>
      <c r="I33" s="444"/>
      <c r="J33" s="444"/>
      <c r="K33" s="444"/>
      <c r="L33" s="444"/>
      <c r="M33" s="444"/>
      <c r="N33" s="444"/>
      <c r="O33" s="444"/>
      <c r="P33" s="474"/>
      <c r="Q33" s="479"/>
      <c r="R33" s="464"/>
      <c r="S33" s="107"/>
      <c r="T33" s="107"/>
      <c r="U33" s="107"/>
      <c r="V33" s="107"/>
      <c r="W33" s="107"/>
      <c r="X33" s="107"/>
      <c r="Y33" s="107"/>
      <c r="Z33" s="107"/>
      <c r="AA33" s="107"/>
      <c r="AB33" s="107"/>
      <c r="AC33" s="107"/>
    </row>
    <row r="34" spans="1:29" s="108" customFormat="1" ht="14.4" customHeight="1" outlineLevel="1" thickBot="1" x14ac:dyDescent="0.35">
      <c r="A34" s="106"/>
      <c r="B34" s="463" t="s">
        <v>166</v>
      </c>
      <c r="C34" s="452"/>
      <c r="D34" s="438"/>
      <c r="E34" s="444"/>
      <c r="F34" s="444"/>
      <c r="G34" s="444"/>
      <c r="H34" s="444"/>
      <c r="I34" s="444"/>
      <c r="J34" s="444"/>
      <c r="K34" s="444"/>
      <c r="L34" s="444"/>
      <c r="M34" s="444"/>
      <c r="N34" s="444"/>
      <c r="O34" s="444"/>
      <c r="P34" s="474"/>
      <c r="Q34" s="479"/>
      <c r="R34" s="464"/>
      <c r="S34" s="107"/>
      <c r="T34" s="107"/>
      <c r="U34" s="107"/>
      <c r="V34" s="107"/>
      <c r="W34" s="107"/>
      <c r="X34" s="107"/>
      <c r="Y34" s="107"/>
      <c r="Z34" s="107"/>
      <c r="AA34" s="107"/>
      <c r="AB34" s="107"/>
      <c r="AC34" s="107"/>
    </row>
    <row r="35" spans="1:29" s="108" customFormat="1" ht="14.4" customHeight="1" outlineLevel="1" thickBot="1" x14ac:dyDescent="0.35">
      <c r="A35" s="106"/>
      <c r="B35" s="463" t="s">
        <v>166</v>
      </c>
      <c r="C35" s="452"/>
      <c r="D35" s="438"/>
      <c r="E35" s="444"/>
      <c r="F35" s="444"/>
      <c r="G35" s="444"/>
      <c r="H35" s="444"/>
      <c r="I35" s="444"/>
      <c r="J35" s="444"/>
      <c r="K35" s="444"/>
      <c r="L35" s="444"/>
      <c r="M35" s="444"/>
      <c r="N35" s="444"/>
      <c r="O35" s="444"/>
      <c r="P35" s="474"/>
      <c r="Q35" s="479"/>
      <c r="R35" s="464"/>
      <c r="S35" s="107"/>
      <c r="T35" s="107"/>
      <c r="U35" s="107"/>
      <c r="V35" s="107"/>
      <c r="W35" s="107"/>
      <c r="X35" s="107"/>
      <c r="Y35" s="107"/>
      <c r="Z35" s="107"/>
      <c r="AA35" s="107"/>
      <c r="AB35" s="107"/>
      <c r="AC35" s="107"/>
    </row>
    <row r="36" spans="1:29" s="108" customFormat="1" ht="14.4" customHeight="1" outlineLevel="1" thickBot="1" x14ac:dyDescent="0.35">
      <c r="A36" s="106"/>
      <c r="B36" s="463" t="s">
        <v>166</v>
      </c>
      <c r="C36" s="452"/>
      <c r="D36" s="438"/>
      <c r="E36" s="444"/>
      <c r="F36" s="444"/>
      <c r="G36" s="444"/>
      <c r="H36" s="444"/>
      <c r="I36" s="444"/>
      <c r="J36" s="444"/>
      <c r="K36" s="444"/>
      <c r="L36" s="444"/>
      <c r="M36" s="444"/>
      <c r="N36" s="444"/>
      <c r="O36" s="444"/>
      <c r="P36" s="474"/>
      <c r="Q36" s="479"/>
      <c r="R36" s="464"/>
      <c r="S36" s="107"/>
      <c r="T36" s="107"/>
      <c r="U36" s="107"/>
      <c r="V36" s="107"/>
      <c r="W36" s="107"/>
      <c r="X36" s="107"/>
      <c r="Y36" s="107"/>
      <c r="Z36" s="107"/>
      <c r="AA36" s="107"/>
      <c r="AB36" s="107"/>
      <c r="AC36" s="107"/>
    </row>
    <row r="37" spans="1:29" s="108" customFormat="1" ht="14.4" customHeight="1" outlineLevel="1" thickBot="1" x14ac:dyDescent="0.35">
      <c r="A37" s="106"/>
      <c r="B37" s="463" t="s">
        <v>166</v>
      </c>
      <c r="C37" s="452"/>
      <c r="D37" s="438"/>
      <c r="E37" s="444"/>
      <c r="F37" s="444"/>
      <c r="G37" s="444"/>
      <c r="H37" s="444"/>
      <c r="I37" s="444"/>
      <c r="J37" s="444"/>
      <c r="K37" s="444"/>
      <c r="L37" s="444"/>
      <c r="M37" s="444"/>
      <c r="N37" s="444"/>
      <c r="O37" s="444"/>
      <c r="P37" s="474"/>
      <c r="Q37" s="479"/>
      <c r="R37" s="464"/>
      <c r="S37" s="107"/>
      <c r="T37" s="107"/>
      <c r="U37" s="107"/>
      <c r="V37" s="107"/>
      <c r="W37" s="107"/>
      <c r="X37" s="107"/>
      <c r="Y37" s="107"/>
      <c r="Z37" s="107"/>
      <c r="AA37" s="107"/>
      <c r="AB37" s="107"/>
      <c r="AC37" s="107"/>
    </row>
    <row r="38" spans="1:29" s="108" customFormat="1" ht="14.4" customHeight="1" thickBot="1" x14ac:dyDescent="0.35">
      <c r="A38" s="106"/>
      <c r="B38" s="468"/>
      <c r="C38" s="456" t="s">
        <v>439</v>
      </c>
      <c r="D38" s="449">
        <v>325</v>
      </c>
      <c r="E38" s="448">
        <f>$D$38</f>
        <v>325</v>
      </c>
      <c r="F38" s="448">
        <f t="shared" ref="F38:P38" si="11">$D$38</f>
        <v>325</v>
      </c>
      <c r="G38" s="448">
        <f t="shared" si="11"/>
        <v>325</v>
      </c>
      <c r="H38" s="448">
        <f t="shared" si="11"/>
        <v>325</v>
      </c>
      <c r="I38" s="448">
        <f t="shared" si="11"/>
        <v>325</v>
      </c>
      <c r="J38" s="448">
        <f t="shared" si="11"/>
        <v>325</v>
      </c>
      <c r="K38" s="448">
        <f t="shared" si="11"/>
        <v>325</v>
      </c>
      <c r="L38" s="448">
        <f t="shared" si="11"/>
        <v>325</v>
      </c>
      <c r="M38" s="448">
        <f t="shared" si="11"/>
        <v>325</v>
      </c>
      <c r="N38" s="448">
        <f t="shared" si="11"/>
        <v>325</v>
      </c>
      <c r="O38" s="448">
        <f t="shared" si="11"/>
        <v>325</v>
      </c>
      <c r="P38" s="477">
        <f t="shared" si="11"/>
        <v>325</v>
      </c>
      <c r="Q38" s="479">
        <f t="shared" ref="Q38" si="12">+SUM(E38:P38)</f>
        <v>3900</v>
      </c>
      <c r="R38" s="464"/>
      <c r="S38" s="107"/>
      <c r="T38" s="107"/>
      <c r="U38" s="107"/>
      <c r="V38" s="107"/>
      <c r="W38" s="107"/>
      <c r="X38" s="107"/>
      <c r="Y38" s="107"/>
      <c r="Z38" s="107"/>
      <c r="AA38" s="107"/>
      <c r="AB38" s="107"/>
      <c r="AC38" s="107"/>
    </row>
    <row r="39" spans="1:29" ht="14.4" thickBot="1" x14ac:dyDescent="0.35">
      <c r="B39" s="469"/>
      <c r="C39" s="470"/>
      <c r="D39" s="471"/>
      <c r="E39" s="472">
        <f>SUM(E6:E38)</f>
        <v>13050</v>
      </c>
      <c r="F39" s="472">
        <f t="shared" ref="F39:P39" si="13">SUM(F6:F38)</f>
        <v>11675</v>
      </c>
      <c r="G39" s="472">
        <f t="shared" si="13"/>
        <v>12025</v>
      </c>
      <c r="H39" s="472">
        <f t="shared" si="13"/>
        <v>11675</v>
      </c>
      <c r="I39" s="472">
        <f t="shared" si="13"/>
        <v>11675</v>
      </c>
      <c r="J39" s="472">
        <f t="shared" si="13"/>
        <v>12025</v>
      </c>
      <c r="K39" s="472">
        <f t="shared" si="13"/>
        <v>11675</v>
      </c>
      <c r="L39" s="472">
        <f t="shared" si="13"/>
        <v>11675</v>
      </c>
      <c r="M39" s="472">
        <f t="shared" si="13"/>
        <v>12025</v>
      </c>
      <c r="N39" s="472">
        <f t="shared" si="13"/>
        <v>11675</v>
      </c>
      <c r="O39" s="472">
        <f t="shared" si="13"/>
        <v>11675</v>
      </c>
      <c r="P39" s="478">
        <f t="shared" si="13"/>
        <v>12025</v>
      </c>
      <c r="Q39" s="480">
        <f>SUM(Q6:Q38)</f>
        <v>142875</v>
      </c>
      <c r="R39" s="473"/>
    </row>
    <row r="40" spans="1:29" x14ac:dyDescent="0.3">
      <c r="C40" s="112"/>
      <c r="D40" s="113"/>
      <c r="E40" s="114"/>
      <c r="F40" s="114"/>
      <c r="G40" s="114"/>
      <c r="H40" s="114"/>
      <c r="I40" s="114"/>
      <c r="J40" s="114"/>
      <c r="K40" s="114"/>
      <c r="L40" s="114"/>
      <c r="M40" s="114"/>
      <c r="N40" s="114"/>
      <c r="O40" s="114"/>
      <c r="P40" s="114"/>
      <c r="Q40" s="114"/>
    </row>
    <row r="41" spans="1:29" s="3" customFormat="1" x14ac:dyDescent="0.3">
      <c r="A41" s="97"/>
      <c r="B41" s="97"/>
      <c r="C41" s="115"/>
      <c r="D41" s="116"/>
      <c r="E41" s="116"/>
      <c r="F41" s="116"/>
      <c r="G41" s="116"/>
      <c r="H41" s="116"/>
      <c r="I41" s="116"/>
      <c r="J41" s="116"/>
      <c r="K41" s="116"/>
      <c r="L41" s="116"/>
      <c r="M41" s="116"/>
      <c r="N41" s="116"/>
      <c r="O41" s="116"/>
      <c r="Q41" s="52" t="e">
        <f>+Q39/B3</f>
        <v>#DIV/0!</v>
      </c>
    </row>
    <row r="42" spans="1:29" s="101" customFormat="1" x14ac:dyDescent="0.3">
      <c r="A42" s="97"/>
      <c r="B42" s="97"/>
      <c r="C42" s="115"/>
      <c r="D42" s="116"/>
      <c r="E42" s="116"/>
      <c r="F42" s="116"/>
      <c r="G42" s="116"/>
      <c r="H42" s="116"/>
      <c r="I42" s="116"/>
      <c r="J42" s="116"/>
      <c r="K42" s="116"/>
      <c r="L42" s="116"/>
      <c r="M42" s="116"/>
      <c r="N42" s="116"/>
      <c r="O42" s="116"/>
      <c r="P42" s="116"/>
      <c r="Q42" s="53" t="s">
        <v>213</v>
      </c>
    </row>
    <row r="43" spans="1:29" s="101" customFormat="1" x14ac:dyDescent="0.3">
      <c r="A43" s="97"/>
      <c r="B43" s="97"/>
      <c r="C43" s="117"/>
      <c r="D43" s="116"/>
      <c r="E43" s="116"/>
      <c r="F43" s="116"/>
      <c r="G43" s="116"/>
      <c r="H43" s="116"/>
      <c r="I43" s="116"/>
      <c r="J43" s="116"/>
      <c r="K43" s="116"/>
      <c r="L43" s="116"/>
      <c r="M43" s="116"/>
      <c r="N43" s="116"/>
      <c r="O43" s="116"/>
      <c r="P43" s="116"/>
      <c r="Q43" s="116"/>
    </row>
    <row r="44" spans="1:29" s="101" customFormat="1" x14ac:dyDescent="0.3">
      <c r="A44" s="97"/>
      <c r="B44" s="97"/>
      <c r="C44" s="115"/>
      <c r="D44" s="116"/>
      <c r="E44" s="116"/>
      <c r="F44" s="116"/>
      <c r="G44" s="116"/>
      <c r="H44" s="116"/>
      <c r="I44" s="116"/>
      <c r="J44" s="116"/>
      <c r="K44" s="116"/>
      <c r="L44" s="116"/>
      <c r="M44" s="116"/>
      <c r="N44" s="116"/>
      <c r="O44" s="116"/>
      <c r="P44" s="116"/>
      <c r="Q44" s="116"/>
    </row>
    <row r="45" spans="1:29" s="101" customFormat="1" x14ac:dyDescent="0.3">
      <c r="A45" s="97"/>
      <c r="B45" s="97"/>
      <c r="C45" s="115"/>
      <c r="D45" s="116"/>
      <c r="E45" s="116"/>
      <c r="F45" s="116"/>
      <c r="G45" s="116"/>
      <c r="H45" s="116"/>
      <c r="I45" s="116"/>
      <c r="J45" s="116"/>
      <c r="K45" s="116"/>
      <c r="L45" s="116"/>
      <c r="M45" s="116"/>
      <c r="N45" s="116"/>
      <c r="O45" s="116"/>
      <c r="P45" s="116"/>
      <c r="Q45" s="116"/>
    </row>
    <row r="46" spans="1:29" s="101" customFormat="1" x14ac:dyDescent="0.3">
      <c r="A46" s="97"/>
      <c r="B46" s="97"/>
      <c r="C46" s="115"/>
      <c r="D46" s="116"/>
      <c r="E46" s="116"/>
      <c r="F46" s="116"/>
      <c r="G46" s="116"/>
      <c r="H46" s="116"/>
      <c r="I46" s="116"/>
      <c r="J46" s="116"/>
      <c r="K46" s="116"/>
      <c r="L46" s="116"/>
      <c r="M46" s="116"/>
      <c r="N46" s="116"/>
      <c r="O46" s="116"/>
      <c r="P46" s="116"/>
      <c r="Q46" s="116"/>
    </row>
    <row r="47" spans="1:29" s="101" customFormat="1" x14ac:dyDescent="0.3">
      <c r="A47" s="97"/>
      <c r="B47" s="97"/>
      <c r="C47" s="115"/>
      <c r="D47" s="116"/>
      <c r="E47" s="116"/>
      <c r="F47" s="116"/>
      <c r="G47" s="116"/>
      <c r="H47" s="116"/>
      <c r="I47" s="116"/>
      <c r="J47" s="116"/>
      <c r="K47" s="116"/>
      <c r="L47" s="116"/>
      <c r="M47" s="116"/>
      <c r="N47" s="116"/>
      <c r="O47" s="116"/>
      <c r="P47" s="116"/>
      <c r="Q47" s="116"/>
    </row>
    <row r="48" spans="1:29" s="101" customFormat="1" x14ac:dyDescent="0.3">
      <c r="A48" s="97"/>
      <c r="B48" s="97"/>
      <c r="C48" s="115"/>
      <c r="D48" s="116"/>
      <c r="E48" s="116"/>
      <c r="F48" s="116"/>
      <c r="G48" s="116"/>
      <c r="H48" s="116"/>
      <c r="I48" s="116"/>
      <c r="J48" s="116"/>
      <c r="K48" s="116"/>
      <c r="L48" s="116"/>
      <c r="M48" s="116"/>
      <c r="N48" s="116"/>
      <c r="O48" s="116"/>
      <c r="P48" s="116"/>
      <c r="Q48" s="116"/>
    </row>
    <row r="49" spans="1:17" s="101" customFormat="1" x14ac:dyDescent="0.3">
      <c r="A49" s="97"/>
      <c r="B49" s="97"/>
      <c r="C49" s="115"/>
      <c r="D49" s="116"/>
      <c r="E49" s="116"/>
      <c r="F49" s="116"/>
      <c r="G49" s="116"/>
      <c r="H49" s="116"/>
      <c r="I49" s="116"/>
      <c r="J49" s="116"/>
      <c r="K49" s="116"/>
      <c r="L49" s="116"/>
      <c r="M49" s="116"/>
      <c r="N49" s="116"/>
      <c r="O49" s="116"/>
      <c r="P49" s="116"/>
      <c r="Q49" s="116"/>
    </row>
    <row r="50" spans="1:17" s="101" customFormat="1" x14ac:dyDescent="0.3">
      <c r="A50" s="97"/>
      <c r="B50" s="97"/>
      <c r="C50" s="115"/>
      <c r="D50" s="116"/>
      <c r="E50" s="116"/>
      <c r="F50" s="116"/>
      <c r="G50" s="116"/>
      <c r="H50" s="116"/>
      <c r="I50" s="116"/>
      <c r="J50" s="116"/>
      <c r="K50" s="116"/>
      <c r="L50" s="116"/>
      <c r="M50" s="116"/>
      <c r="N50" s="116"/>
      <c r="O50" s="116"/>
      <c r="P50" s="116"/>
      <c r="Q50" s="116"/>
    </row>
    <row r="51" spans="1:17" s="101" customFormat="1" x14ac:dyDescent="0.3">
      <c r="A51" s="97"/>
      <c r="B51" s="97"/>
      <c r="C51" s="115"/>
      <c r="D51" s="116"/>
      <c r="E51" s="116"/>
      <c r="F51" s="116"/>
      <c r="G51" s="116"/>
      <c r="H51" s="116"/>
      <c r="I51" s="116"/>
      <c r="J51" s="116"/>
      <c r="K51" s="116"/>
      <c r="L51" s="116"/>
      <c r="M51" s="116"/>
      <c r="N51" s="116"/>
      <c r="O51" s="116"/>
      <c r="P51" s="116"/>
      <c r="Q51" s="116"/>
    </row>
    <row r="52" spans="1:17" s="101" customFormat="1" x14ac:dyDescent="0.3">
      <c r="A52" s="97"/>
      <c r="B52" s="97"/>
      <c r="C52" s="115"/>
      <c r="D52" s="116"/>
      <c r="E52" s="116"/>
      <c r="F52" s="116"/>
      <c r="G52" s="116"/>
      <c r="H52" s="116"/>
      <c r="I52" s="116"/>
      <c r="J52" s="116"/>
      <c r="K52" s="116"/>
      <c r="L52" s="116"/>
      <c r="M52" s="116"/>
      <c r="N52" s="116"/>
      <c r="O52" s="116"/>
      <c r="P52" s="116"/>
      <c r="Q52" s="116"/>
    </row>
    <row r="53" spans="1:17" s="101" customFormat="1" x14ac:dyDescent="0.3">
      <c r="A53" s="97"/>
      <c r="B53" s="97"/>
      <c r="C53" s="115"/>
      <c r="D53" s="116"/>
      <c r="E53" s="116"/>
      <c r="F53" s="116"/>
      <c r="G53" s="116"/>
      <c r="H53" s="116"/>
      <c r="I53" s="116"/>
      <c r="J53" s="116"/>
      <c r="K53" s="116"/>
      <c r="L53" s="116"/>
      <c r="M53" s="116"/>
      <c r="N53" s="116"/>
      <c r="O53" s="116"/>
      <c r="P53" s="116"/>
      <c r="Q53" s="116"/>
    </row>
    <row r="54" spans="1:17" s="101" customFormat="1" x14ac:dyDescent="0.3">
      <c r="A54" s="97"/>
      <c r="B54" s="97"/>
      <c r="C54" s="115"/>
      <c r="D54" s="116"/>
      <c r="E54" s="116"/>
      <c r="F54" s="116"/>
      <c r="G54" s="116"/>
      <c r="H54" s="116"/>
      <c r="I54" s="116"/>
      <c r="J54" s="116"/>
      <c r="K54" s="116"/>
      <c r="L54" s="116"/>
      <c r="M54" s="116"/>
      <c r="N54" s="116"/>
      <c r="O54" s="116"/>
      <c r="P54" s="116"/>
      <c r="Q54" s="116"/>
    </row>
    <row r="55" spans="1:17" s="101" customFormat="1" x14ac:dyDescent="0.3">
      <c r="A55" s="97"/>
      <c r="B55" s="97"/>
      <c r="C55" s="115"/>
      <c r="D55" s="116"/>
      <c r="E55" s="116"/>
      <c r="F55" s="116"/>
      <c r="G55" s="116"/>
      <c r="H55" s="116"/>
      <c r="I55" s="116"/>
      <c r="J55" s="116"/>
      <c r="K55" s="116"/>
      <c r="L55" s="116"/>
      <c r="M55" s="116"/>
      <c r="N55" s="116"/>
      <c r="O55" s="116"/>
      <c r="P55" s="116"/>
      <c r="Q55" s="116"/>
    </row>
    <row r="56" spans="1:17" s="101" customFormat="1" x14ac:dyDescent="0.3">
      <c r="A56" s="97"/>
      <c r="B56" s="97"/>
      <c r="C56" s="115"/>
      <c r="D56" s="116"/>
      <c r="E56" s="116"/>
      <c r="F56" s="116"/>
      <c r="G56" s="116"/>
      <c r="H56" s="116"/>
      <c r="I56" s="116"/>
      <c r="J56" s="116"/>
      <c r="K56" s="116"/>
      <c r="L56" s="116"/>
      <c r="M56" s="116"/>
      <c r="N56" s="116"/>
      <c r="O56" s="116"/>
      <c r="P56" s="116"/>
      <c r="Q56" s="116"/>
    </row>
    <row r="57" spans="1:17" s="101" customFormat="1" x14ac:dyDescent="0.3">
      <c r="A57" s="97"/>
      <c r="B57" s="97"/>
      <c r="C57" s="115"/>
      <c r="D57" s="116"/>
      <c r="E57" s="116"/>
      <c r="F57" s="116"/>
      <c r="G57" s="116"/>
      <c r="H57" s="116"/>
      <c r="I57" s="116"/>
      <c r="J57" s="116"/>
      <c r="K57" s="116"/>
      <c r="L57" s="116"/>
      <c r="M57" s="116"/>
      <c r="N57" s="116"/>
      <c r="O57" s="116"/>
      <c r="P57" s="116"/>
      <c r="Q57" s="116"/>
    </row>
    <row r="58" spans="1:17" s="101" customFormat="1" x14ac:dyDescent="0.3">
      <c r="A58" s="97"/>
      <c r="B58" s="97"/>
      <c r="C58" s="115"/>
      <c r="D58" s="116"/>
      <c r="E58" s="116"/>
      <c r="F58" s="116"/>
      <c r="G58" s="116"/>
      <c r="H58" s="116"/>
      <c r="I58" s="116"/>
      <c r="J58" s="116"/>
      <c r="K58" s="116"/>
      <c r="L58" s="116"/>
      <c r="M58" s="116"/>
      <c r="N58" s="116"/>
      <c r="O58" s="116"/>
      <c r="P58" s="116"/>
      <c r="Q58" s="116"/>
    </row>
    <row r="59" spans="1:17" s="101" customFormat="1" x14ac:dyDescent="0.3">
      <c r="A59" s="97"/>
      <c r="B59" s="97"/>
      <c r="C59" s="115"/>
      <c r="D59" s="116"/>
      <c r="E59" s="116"/>
      <c r="F59" s="116"/>
      <c r="G59" s="116"/>
      <c r="H59" s="116"/>
      <c r="I59" s="116"/>
      <c r="J59" s="116"/>
      <c r="K59" s="116"/>
      <c r="L59" s="116"/>
      <c r="M59" s="116"/>
      <c r="N59" s="116"/>
      <c r="O59" s="116"/>
      <c r="P59" s="116"/>
      <c r="Q59" s="116"/>
    </row>
    <row r="60" spans="1:17" s="101" customFormat="1" x14ac:dyDescent="0.3">
      <c r="A60" s="97"/>
      <c r="B60" s="97"/>
      <c r="C60" s="115"/>
      <c r="D60" s="116"/>
      <c r="E60" s="116"/>
      <c r="F60" s="116"/>
      <c r="G60" s="116"/>
      <c r="H60" s="116"/>
      <c r="I60" s="116"/>
      <c r="J60" s="116"/>
      <c r="K60" s="116"/>
      <c r="L60" s="116"/>
      <c r="M60" s="116"/>
      <c r="N60" s="116"/>
      <c r="O60" s="116"/>
      <c r="P60" s="116"/>
      <c r="Q60" s="116"/>
    </row>
    <row r="61" spans="1:17" s="101" customFormat="1" x14ac:dyDescent="0.3">
      <c r="A61" s="97"/>
      <c r="B61" s="97"/>
      <c r="C61" s="115"/>
      <c r="D61" s="116"/>
      <c r="E61" s="116"/>
      <c r="F61" s="116"/>
      <c r="G61" s="116"/>
      <c r="H61" s="116"/>
      <c r="I61" s="116"/>
      <c r="J61" s="116"/>
      <c r="K61" s="116"/>
      <c r="L61" s="116"/>
      <c r="M61" s="116"/>
      <c r="N61" s="116"/>
      <c r="O61" s="116"/>
      <c r="P61" s="116"/>
      <c r="Q61" s="116"/>
    </row>
    <row r="62" spans="1:17" s="101" customFormat="1" x14ac:dyDescent="0.3">
      <c r="A62" s="97"/>
      <c r="B62" s="97"/>
      <c r="C62" s="115"/>
      <c r="D62" s="116"/>
      <c r="E62" s="116"/>
      <c r="F62" s="116"/>
      <c r="G62" s="116"/>
      <c r="H62" s="116"/>
      <c r="I62" s="116"/>
      <c r="J62" s="116"/>
      <c r="K62" s="116"/>
      <c r="L62" s="116"/>
      <c r="M62" s="116"/>
      <c r="N62" s="116"/>
      <c r="O62" s="116"/>
      <c r="P62" s="116"/>
      <c r="Q62" s="116"/>
    </row>
    <row r="63" spans="1:17" s="101" customFormat="1" x14ac:dyDescent="0.3">
      <c r="A63" s="97"/>
      <c r="B63" s="97"/>
      <c r="C63" s="115"/>
      <c r="D63" s="116"/>
      <c r="E63" s="116"/>
      <c r="F63" s="116"/>
      <c r="G63" s="116"/>
      <c r="H63" s="116"/>
      <c r="I63" s="116"/>
      <c r="J63" s="116"/>
      <c r="K63" s="116"/>
      <c r="L63" s="116"/>
      <c r="M63" s="116"/>
      <c r="N63" s="116"/>
      <c r="O63" s="116"/>
      <c r="P63" s="116"/>
      <c r="Q63" s="116"/>
    </row>
    <row r="64" spans="1:17" s="101" customFormat="1" x14ac:dyDescent="0.3">
      <c r="A64" s="97"/>
      <c r="B64" s="97"/>
      <c r="C64" s="115"/>
      <c r="D64" s="116"/>
      <c r="E64" s="116"/>
      <c r="F64" s="116"/>
      <c r="G64" s="116"/>
      <c r="H64" s="116"/>
      <c r="I64" s="116"/>
      <c r="J64" s="116"/>
      <c r="K64" s="116"/>
      <c r="L64" s="116"/>
      <c r="M64" s="116"/>
      <c r="N64" s="116"/>
      <c r="O64" s="116"/>
      <c r="P64" s="116"/>
      <c r="Q64" s="116"/>
    </row>
    <row r="65" spans="1:17" s="101" customFormat="1" x14ac:dyDescent="0.3">
      <c r="A65" s="97"/>
      <c r="B65" s="97"/>
      <c r="C65" s="115"/>
      <c r="D65" s="116"/>
      <c r="E65" s="116"/>
      <c r="F65" s="116"/>
      <c r="G65" s="116"/>
      <c r="H65" s="116"/>
      <c r="I65" s="116"/>
      <c r="J65" s="116"/>
      <c r="K65" s="116"/>
      <c r="L65" s="116"/>
      <c r="M65" s="116"/>
      <c r="N65" s="116"/>
      <c r="O65" s="116"/>
      <c r="P65" s="116"/>
      <c r="Q65" s="116"/>
    </row>
    <row r="66" spans="1:17" s="101" customFormat="1" x14ac:dyDescent="0.3">
      <c r="A66" s="97"/>
      <c r="B66" s="97"/>
      <c r="C66" s="115"/>
      <c r="D66" s="116"/>
      <c r="E66" s="116"/>
      <c r="F66" s="116"/>
      <c r="G66" s="116"/>
      <c r="H66" s="116"/>
      <c r="I66" s="116"/>
      <c r="J66" s="116"/>
      <c r="K66" s="116"/>
      <c r="L66" s="116"/>
      <c r="M66" s="116"/>
      <c r="N66" s="116"/>
      <c r="O66" s="116"/>
      <c r="P66" s="116"/>
      <c r="Q66" s="116"/>
    </row>
    <row r="67" spans="1:17" s="101" customFormat="1" x14ac:dyDescent="0.3">
      <c r="A67" s="97"/>
      <c r="B67" s="97"/>
      <c r="C67" s="115"/>
      <c r="D67" s="116"/>
      <c r="E67" s="116"/>
      <c r="F67" s="116"/>
      <c r="G67" s="116"/>
      <c r="H67" s="116"/>
      <c r="I67" s="116"/>
      <c r="J67" s="116"/>
      <c r="K67" s="116"/>
      <c r="L67" s="116"/>
      <c r="M67" s="116"/>
      <c r="N67" s="116"/>
      <c r="O67" s="116"/>
      <c r="P67" s="116"/>
      <c r="Q67" s="116"/>
    </row>
    <row r="68" spans="1:17" s="101" customFormat="1" x14ac:dyDescent="0.3">
      <c r="A68" s="97"/>
      <c r="B68" s="97"/>
      <c r="C68" s="115"/>
      <c r="D68" s="116"/>
      <c r="E68" s="116"/>
      <c r="F68" s="116"/>
      <c r="G68" s="116"/>
      <c r="H68" s="116"/>
      <c r="I68" s="116"/>
      <c r="J68" s="116"/>
      <c r="K68" s="116"/>
      <c r="L68" s="116"/>
      <c r="M68" s="116"/>
      <c r="N68" s="116"/>
      <c r="O68" s="116"/>
      <c r="P68" s="116"/>
      <c r="Q68" s="116"/>
    </row>
    <row r="69" spans="1:17" s="101" customFormat="1" x14ac:dyDescent="0.3">
      <c r="A69" s="97"/>
      <c r="B69" s="97"/>
      <c r="C69" s="115"/>
      <c r="D69" s="116"/>
      <c r="E69" s="116"/>
      <c r="F69" s="116"/>
      <c r="G69" s="116"/>
      <c r="H69" s="116"/>
      <c r="I69" s="116"/>
      <c r="J69" s="116"/>
      <c r="K69" s="116"/>
      <c r="L69" s="116"/>
      <c r="M69" s="116"/>
      <c r="N69" s="116"/>
      <c r="O69" s="116"/>
      <c r="P69" s="116"/>
      <c r="Q69" s="116"/>
    </row>
    <row r="70" spans="1:17" s="101" customFormat="1" x14ac:dyDescent="0.3">
      <c r="A70" s="97"/>
      <c r="B70" s="97"/>
      <c r="C70" s="115"/>
      <c r="D70" s="116"/>
      <c r="E70" s="116"/>
      <c r="F70" s="116"/>
      <c r="G70" s="116"/>
      <c r="H70" s="116"/>
      <c r="I70" s="116"/>
      <c r="J70" s="116"/>
      <c r="K70" s="116"/>
      <c r="L70" s="116"/>
      <c r="M70" s="116"/>
      <c r="N70" s="116"/>
      <c r="O70" s="116"/>
      <c r="P70" s="116"/>
      <c r="Q70" s="116"/>
    </row>
    <row r="71" spans="1:17" s="101" customFormat="1" x14ac:dyDescent="0.3">
      <c r="A71" s="97"/>
      <c r="B71" s="97"/>
      <c r="C71" s="115"/>
      <c r="D71" s="116"/>
      <c r="E71" s="116"/>
      <c r="F71" s="116"/>
      <c r="G71" s="116"/>
      <c r="H71" s="116"/>
      <c r="I71" s="116"/>
      <c r="J71" s="116"/>
      <c r="K71" s="116"/>
      <c r="L71" s="116"/>
      <c r="M71" s="116"/>
      <c r="N71" s="116"/>
      <c r="O71" s="116"/>
      <c r="P71" s="116"/>
      <c r="Q71" s="116"/>
    </row>
    <row r="72" spans="1:17" s="101" customFormat="1" x14ac:dyDescent="0.3">
      <c r="A72" s="97"/>
      <c r="B72" s="97"/>
      <c r="C72" s="115"/>
      <c r="D72" s="116"/>
      <c r="E72" s="116"/>
      <c r="F72" s="116"/>
      <c r="G72" s="116"/>
      <c r="H72" s="116"/>
      <c r="I72" s="116"/>
      <c r="J72" s="116"/>
      <c r="K72" s="116"/>
      <c r="L72" s="116"/>
      <c r="M72" s="116"/>
      <c r="N72" s="116"/>
      <c r="O72" s="116"/>
      <c r="P72" s="116"/>
      <c r="Q72" s="116"/>
    </row>
    <row r="73" spans="1:17" s="101" customFormat="1" x14ac:dyDescent="0.3">
      <c r="A73" s="97"/>
      <c r="B73" s="97"/>
      <c r="C73" s="115"/>
      <c r="D73" s="116"/>
      <c r="E73" s="116"/>
      <c r="F73" s="116"/>
      <c r="G73" s="116"/>
      <c r="H73" s="116"/>
      <c r="I73" s="116"/>
      <c r="J73" s="116"/>
      <c r="K73" s="116"/>
      <c r="L73" s="116"/>
      <c r="M73" s="116"/>
      <c r="N73" s="116"/>
      <c r="O73" s="116"/>
      <c r="P73" s="116"/>
      <c r="Q73" s="116"/>
    </row>
    <row r="74" spans="1:17" s="101" customFormat="1" x14ac:dyDescent="0.3">
      <c r="A74" s="97"/>
      <c r="B74" s="97"/>
      <c r="C74" s="115"/>
      <c r="D74" s="116"/>
      <c r="E74" s="116"/>
      <c r="F74" s="116"/>
      <c r="G74" s="116"/>
      <c r="H74" s="116"/>
      <c r="I74" s="116"/>
      <c r="J74" s="116"/>
      <c r="K74" s="116"/>
      <c r="L74" s="116"/>
      <c r="M74" s="116"/>
      <c r="N74" s="116"/>
      <c r="O74" s="116"/>
      <c r="P74" s="116"/>
      <c r="Q74" s="116"/>
    </row>
    <row r="75" spans="1:17" s="101" customFormat="1" x14ac:dyDescent="0.3">
      <c r="A75" s="97"/>
      <c r="B75" s="97"/>
      <c r="C75" s="115"/>
      <c r="D75" s="116"/>
      <c r="E75" s="116"/>
      <c r="F75" s="116"/>
      <c r="G75" s="116"/>
      <c r="H75" s="116"/>
      <c r="I75" s="116"/>
      <c r="J75" s="116"/>
      <c r="K75" s="116"/>
      <c r="L75" s="116"/>
      <c r="M75" s="116"/>
      <c r="N75" s="116"/>
      <c r="O75" s="116"/>
      <c r="P75" s="116"/>
      <c r="Q75" s="116"/>
    </row>
    <row r="76" spans="1:17" s="101" customFormat="1" x14ac:dyDescent="0.3">
      <c r="A76" s="97"/>
      <c r="B76" s="97"/>
      <c r="C76" s="115"/>
      <c r="D76" s="116"/>
      <c r="E76" s="116"/>
      <c r="F76" s="116"/>
      <c r="G76" s="116"/>
      <c r="H76" s="116"/>
      <c r="I76" s="116"/>
      <c r="J76" s="116"/>
      <c r="K76" s="116"/>
      <c r="L76" s="116"/>
      <c r="M76" s="116"/>
      <c r="N76" s="116"/>
      <c r="O76" s="116"/>
      <c r="P76" s="116"/>
      <c r="Q76" s="116"/>
    </row>
    <row r="77" spans="1:17" s="101" customFormat="1" x14ac:dyDescent="0.3">
      <c r="A77" s="97"/>
      <c r="B77" s="97"/>
      <c r="C77" s="115"/>
      <c r="D77" s="116"/>
      <c r="E77" s="116"/>
      <c r="F77" s="116"/>
      <c r="G77" s="116"/>
      <c r="H77" s="116"/>
      <c r="I77" s="116"/>
      <c r="J77" s="116"/>
      <c r="K77" s="116"/>
      <c r="L77" s="116"/>
      <c r="M77" s="116"/>
      <c r="N77" s="116"/>
      <c r="O77" s="116"/>
      <c r="P77" s="116"/>
      <c r="Q77" s="116"/>
    </row>
    <row r="78" spans="1:17" s="101" customFormat="1" x14ac:dyDescent="0.3">
      <c r="A78" s="97"/>
      <c r="B78" s="97"/>
      <c r="C78" s="115"/>
      <c r="D78" s="116"/>
      <c r="E78" s="116"/>
      <c r="F78" s="116"/>
      <c r="G78" s="116"/>
      <c r="H78" s="116"/>
      <c r="I78" s="116"/>
      <c r="J78" s="116"/>
      <c r="K78" s="116"/>
      <c r="L78" s="116"/>
      <c r="M78" s="116"/>
      <c r="N78" s="116"/>
      <c r="O78" s="116"/>
      <c r="P78" s="116"/>
      <c r="Q78" s="116"/>
    </row>
    <row r="79" spans="1:17" s="101" customFormat="1" x14ac:dyDescent="0.3">
      <c r="A79" s="97"/>
      <c r="B79" s="97"/>
      <c r="C79" s="115"/>
      <c r="D79" s="116"/>
      <c r="E79" s="116"/>
      <c r="F79" s="116"/>
      <c r="G79" s="116"/>
      <c r="H79" s="116"/>
      <c r="I79" s="116"/>
      <c r="J79" s="116"/>
      <c r="K79" s="116"/>
      <c r="L79" s="116"/>
      <c r="M79" s="116"/>
      <c r="N79" s="116"/>
      <c r="O79" s="116"/>
      <c r="P79" s="116"/>
      <c r="Q79" s="116"/>
    </row>
    <row r="80" spans="1:17" s="101" customFormat="1" x14ac:dyDescent="0.3">
      <c r="A80" s="97"/>
      <c r="B80" s="97"/>
      <c r="C80" s="115"/>
      <c r="D80" s="116"/>
      <c r="E80" s="116"/>
      <c r="F80" s="116"/>
      <c r="G80" s="116"/>
      <c r="H80" s="116"/>
      <c r="I80" s="116"/>
      <c r="J80" s="116"/>
      <c r="K80" s="116"/>
      <c r="L80" s="116"/>
      <c r="M80" s="116"/>
      <c r="N80" s="116"/>
      <c r="O80" s="116"/>
      <c r="P80" s="116"/>
      <c r="Q80" s="116"/>
    </row>
    <row r="81" spans="1:17" s="101" customFormat="1" x14ac:dyDescent="0.3">
      <c r="A81" s="97"/>
      <c r="B81" s="97"/>
      <c r="C81" s="115"/>
      <c r="D81" s="116"/>
      <c r="E81" s="116"/>
      <c r="F81" s="116"/>
      <c r="G81" s="116"/>
      <c r="H81" s="116"/>
      <c r="I81" s="116"/>
      <c r="J81" s="116"/>
      <c r="K81" s="116"/>
      <c r="L81" s="116"/>
      <c r="M81" s="116"/>
      <c r="N81" s="116"/>
      <c r="O81" s="116"/>
      <c r="P81" s="116"/>
      <c r="Q81" s="116"/>
    </row>
    <row r="82" spans="1:17" s="101" customFormat="1" x14ac:dyDescent="0.3">
      <c r="A82" s="97"/>
      <c r="B82" s="97"/>
      <c r="C82" s="115"/>
      <c r="D82" s="116"/>
      <c r="E82" s="116"/>
      <c r="F82" s="116"/>
      <c r="G82" s="116"/>
      <c r="H82" s="116"/>
      <c r="I82" s="116"/>
      <c r="J82" s="116"/>
      <c r="K82" s="116"/>
      <c r="L82" s="116"/>
      <c r="M82" s="116"/>
      <c r="N82" s="116"/>
      <c r="O82" s="116"/>
      <c r="P82" s="116"/>
      <c r="Q82" s="116"/>
    </row>
    <row r="83" spans="1:17" s="101" customFormat="1" x14ac:dyDescent="0.3">
      <c r="A83" s="97"/>
      <c r="B83" s="97"/>
      <c r="C83" s="115"/>
      <c r="D83" s="116"/>
      <c r="E83" s="116"/>
      <c r="F83" s="116"/>
      <c r="G83" s="116"/>
      <c r="H83" s="116"/>
      <c r="I83" s="116"/>
      <c r="J83" s="116"/>
      <c r="K83" s="116"/>
      <c r="L83" s="116"/>
      <c r="M83" s="116"/>
      <c r="N83" s="116"/>
      <c r="O83" s="116"/>
      <c r="P83" s="116"/>
      <c r="Q83" s="116"/>
    </row>
    <row r="84" spans="1:17" s="101" customFormat="1" x14ac:dyDescent="0.3">
      <c r="A84" s="97"/>
      <c r="B84" s="97"/>
      <c r="C84" s="115"/>
      <c r="D84" s="116"/>
      <c r="E84" s="116"/>
      <c r="F84" s="116"/>
      <c r="G84" s="116"/>
      <c r="H84" s="116"/>
      <c r="I84" s="116"/>
      <c r="J84" s="116"/>
      <c r="K84" s="116"/>
      <c r="L84" s="116"/>
      <c r="M84" s="116"/>
      <c r="N84" s="116"/>
      <c r="O84" s="116"/>
      <c r="P84" s="116"/>
      <c r="Q84" s="116"/>
    </row>
  </sheetData>
  <dataConsolidate/>
  <mergeCells count="1">
    <mergeCell ref="D1:P1"/>
  </mergeCells>
  <dataValidations count="4">
    <dataValidation allowBlank="1" showInputMessage="1" showErrorMessage="1" prompt="Total Marketing Budget is auto calculated for each month in this row, from cells D71 through O71, and Annual Total in cell Q71. Sparkline is auto updated in cell S71." sqref="A39:B40" xr:uid="{BF018BF1-E2F7-443D-A748-7E7BC9E94E33}"/>
    <dataValidation allowBlank="1" showInputMessage="1" showErrorMessage="1" prompt="Anticipated Sales Total label is in cell at right. Enter Anticipated Sales for each month in cells D3 through O3. Total is auto calculated in cell Q3." sqref="A6" xr:uid="{5FB7DF52-D73F-4B61-BF42-F8AA91E58A4D}"/>
    <dataValidation allowBlank="1" showInputMessage="1" showErrorMessage="1" prompt="Create Channel Marketing Budget in this worksheet. Title of this worksheet is in cell C1. Helpful instructions are in cells in this column. Arrow down to get started. " sqref="A1:B4" xr:uid="{C990834D-B2F9-484D-B354-1AEA3B921E39}"/>
    <dataValidation allowBlank="1" showInputMessage="1" showErrorMessage="1" prompt="Rate and Months labels are in this row, from cells C3 through O3, and Total label in cell Q3." sqref="A5:B5" xr:uid="{0F2469D9-D4C9-4B99-B964-A2C0E33A00CB}"/>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44C3F403-7B4D-49D0-BCF7-605FFD59E0F7}">
          <x14:formula1>
            <xm:f>'Lease-Up Proforma'!$C$65:$C$69</xm:f>
          </x14:formula1>
          <xm:sqref>B6:B38</xm:sqref>
        </x14:dataValidation>
        <x14:dataValidation type="list" allowBlank="1" showInputMessage="1" showErrorMessage="1" xr:uid="{423CCF0A-340E-4738-8B16-59D536B40694}">
          <x14:formula1>
            <xm:f>'Marketing List - Dropdowns'!$F$31:$F$36</xm:f>
          </x14:formula1>
          <xm:sqref>D16</xm:sqref>
        </x14:dataValidation>
        <x14:dataValidation type="list" allowBlank="1" showInputMessage="1" showErrorMessage="1" xr:uid="{06D9E65A-E634-4FF1-A103-FBE4EAF5CBAD}">
          <x14:formula1>
            <xm:f>'Marketing List - Dropdowns'!$F$19:$F$24</xm:f>
          </x14:formula1>
          <xm:sqref>D13:D16</xm:sqref>
        </x14:dataValidation>
        <x14:dataValidation type="list" allowBlank="1" showInputMessage="1" showErrorMessage="1" xr:uid="{64F10E51-0E59-46B9-8C48-01546FE0DC80}">
          <x14:formula1>
            <xm:f>'Marketing List - Dropdowns'!$N$4:$N$8</xm:f>
          </x14:formula1>
          <xm:sqref>D7</xm:sqref>
        </x14:dataValidation>
        <x14:dataValidation type="list" allowBlank="1" showInputMessage="1" showErrorMessage="1" xr:uid="{3BDF25ED-012F-486D-AFC9-806B1CCC9510}">
          <x14:formula1>
            <xm:f>'Marketing List - Dropdowns'!$K$4:$K$6</xm:f>
          </x14:formula1>
          <xm:sqref>D22</xm:sqref>
        </x14:dataValidation>
        <x14:dataValidation type="list" allowBlank="1" showInputMessage="1" showErrorMessage="1" xr:uid="{6F033EF2-AEBA-4E37-9B09-76D100E12EAC}">
          <x14:formula1>
            <xm:f>'Marketing List - Dropdowns'!$F$5:$F$12</xm:f>
          </x14:formula1>
          <xm:sqref>D6</xm:sqref>
        </x14:dataValidation>
        <x14:dataValidation type="list" allowBlank="1" showInputMessage="1" showErrorMessage="1" xr:uid="{68D8414C-E609-44C4-BA9A-5E9AEBA70AAF}">
          <x14:formula1>
            <xm:f>'Marketing List - Dropdowns'!$B$3:$B$4</xm:f>
          </x14:formula1>
          <xm:sqref>D20:D21 D25:D28 D15 D8:D12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0CCC4-3244-4BA1-B179-1E64ADF1DD82}">
  <sheetPr>
    <tabColor theme="3" tint="0.249977111117893"/>
  </sheetPr>
  <dimension ref="A1:AC84"/>
  <sheetViews>
    <sheetView workbookViewId="0">
      <selection activeCell="O35" sqref="O35"/>
    </sheetView>
  </sheetViews>
  <sheetFormatPr defaultColWidth="9.6640625" defaultRowHeight="13.8" outlineLevelRow="1" x14ac:dyDescent="0.3"/>
  <cols>
    <col min="1" max="1" width="7" style="97" customWidth="1"/>
    <col min="2" max="2" width="22.5546875" style="97" customWidth="1"/>
    <col min="3" max="3" width="49.33203125" style="118" customWidth="1"/>
    <col min="4" max="4" width="12.6640625" style="119" customWidth="1"/>
    <col min="5" max="16" width="11.6640625" style="119" bestFit="1" customWidth="1"/>
    <col min="17" max="17" width="16.33203125" style="119" bestFit="1" customWidth="1"/>
    <col min="18" max="18" width="59.44140625" style="101" customWidth="1"/>
    <col min="19" max="19" width="9.6640625" style="101"/>
    <col min="20" max="20" width="11.6640625" style="101" bestFit="1" customWidth="1"/>
    <col min="21" max="21" width="9.6640625" style="101"/>
    <col min="22" max="22" width="11.6640625" style="101" bestFit="1" customWidth="1"/>
    <col min="23" max="24" width="9.6640625" style="101"/>
    <col min="25" max="25" width="11.6640625" style="101" bestFit="1" customWidth="1"/>
    <col min="26" max="29" width="9.6640625" style="101"/>
    <col min="30" max="16384" width="9.6640625" style="111"/>
  </cols>
  <sheetData>
    <row r="1" spans="1:29" s="2" customFormat="1" x14ac:dyDescent="0.3">
      <c r="A1" s="97"/>
      <c r="B1" s="97"/>
      <c r="C1" s="98"/>
      <c r="D1" s="732"/>
      <c r="E1" s="732"/>
      <c r="F1" s="732"/>
      <c r="G1" s="732"/>
      <c r="H1" s="732"/>
      <c r="I1" s="732"/>
      <c r="J1" s="732"/>
      <c r="K1" s="732"/>
      <c r="L1" s="732"/>
      <c r="M1" s="732"/>
      <c r="N1" s="732"/>
      <c r="O1" s="732"/>
      <c r="P1" s="732"/>
      <c r="Q1" s="100"/>
      <c r="R1" s="101"/>
      <c r="S1" s="3"/>
      <c r="T1" s="3"/>
      <c r="U1" s="3"/>
      <c r="V1" s="3"/>
      <c r="W1" s="3"/>
      <c r="X1" s="3"/>
      <c r="Y1" s="3"/>
      <c r="Z1" s="3"/>
      <c r="AA1" s="3"/>
      <c r="AB1" s="3"/>
      <c r="AC1" s="3"/>
    </row>
    <row r="2" spans="1:29" s="2" customFormat="1" ht="20.399999999999999" customHeight="1" x14ac:dyDescent="0.3">
      <c r="A2" s="97"/>
      <c r="B2" s="441" t="s">
        <v>258</v>
      </c>
      <c r="D2" s="99"/>
      <c r="E2" s="3"/>
      <c r="F2" s="99"/>
      <c r="G2" s="99"/>
      <c r="H2" s="99"/>
      <c r="I2" s="99"/>
      <c r="J2" s="99"/>
      <c r="K2" s="99"/>
      <c r="L2" s="99"/>
      <c r="M2" s="99"/>
      <c r="N2" s="99"/>
      <c r="O2" s="99"/>
      <c r="P2" s="99"/>
      <c r="Q2" s="100"/>
      <c r="R2" s="101"/>
      <c r="S2" s="3"/>
      <c r="T2" s="3"/>
      <c r="U2" s="3"/>
      <c r="V2" s="3"/>
      <c r="W2" s="3"/>
      <c r="X2" s="3"/>
      <c r="Y2" s="3"/>
      <c r="Z2" s="3"/>
      <c r="AA2" s="3"/>
      <c r="AB2" s="3"/>
      <c r="AC2" s="3"/>
    </row>
    <row r="3" spans="1:29" s="2" customFormat="1" ht="20.399999999999999" customHeight="1" x14ac:dyDescent="0.3">
      <c r="A3" s="97"/>
      <c r="B3" s="442">
        <f>'Rent Schedule'!E31</f>
        <v>0</v>
      </c>
      <c r="C3" s="99"/>
      <c r="D3" s="99"/>
      <c r="E3" s="3"/>
      <c r="F3" s="99"/>
      <c r="G3" s="99"/>
      <c r="H3" s="99"/>
      <c r="I3" s="99"/>
      <c r="J3" s="99"/>
      <c r="K3" s="99"/>
      <c r="L3" s="99"/>
      <c r="M3" s="99"/>
      <c r="N3" s="99"/>
      <c r="O3" s="99"/>
      <c r="P3" s="99"/>
      <c r="Q3" s="100"/>
      <c r="R3" s="101"/>
      <c r="S3" s="3"/>
      <c r="T3" s="3"/>
      <c r="U3" s="3"/>
      <c r="V3" s="3"/>
      <c r="W3" s="3"/>
      <c r="X3" s="3"/>
      <c r="Y3" s="3"/>
      <c r="Z3" s="3"/>
      <c r="AA3" s="3"/>
      <c r="AB3" s="3"/>
      <c r="AC3" s="3"/>
    </row>
    <row r="4" spans="1:29" s="2" customFormat="1" ht="4.2" customHeight="1" x14ac:dyDescent="0.3">
      <c r="A4" s="97"/>
      <c r="B4" s="97"/>
      <c r="C4" s="98"/>
      <c r="D4" s="99"/>
      <c r="E4" s="99"/>
      <c r="F4" s="99"/>
      <c r="G4" s="99"/>
      <c r="H4" s="99"/>
      <c r="I4" s="99"/>
      <c r="J4" s="99"/>
      <c r="K4" s="99"/>
      <c r="L4" s="99"/>
      <c r="M4" s="99"/>
      <c r="N4" s="99"/>
      <c r="O4" s="99"/>
      <c r="P4" s="99"/>
      <c r="Q4" s="100"/>
      <c r="R4" s="101"/>
      <c r="S4" s="3"/>
      <c r="T4" s="3"/>
      <c r="U4" s="3"/>
      <c r="V4" s="3"/>
      <c r="W4" s="3"/>
      <c r="X4" s="3"/>
      <c r="Y4" s="3"/>
      <c r="Z4" s="3"/>
      <c r="AA4" s="3"/>
      <c r="AB4" s="3"/>
      <c r="AC4" s="3"/>
    </row>
    <row r="5" spans="1:29" s="104" customFormat="1" ht="14.4" customHeight="1" thickBot="1" x14ac:dyDescent="0.35">
      <c r="A5" s="102"/>
      <c r="B5" s="457" t="s">
        <v>296</v>
      </c>
      <c r="C5" s="457" t="s">
        <v>248</v>
      </c>
      <c r="D5" s="458" t="s">
        <v>262</v>
      </c>
      <c r="E5" s="495">
        <f>+'Absorption Schedule'!I25</f>
        <v>46204</v>
      </c>
      <c r="F5" s="495">
        <f>EOMONTH(E5,1 )</f>
        <v>46265</v>
      </c>
      <c r="G5" s="495">
        <f t="shared" ref="G5:P5" si="0">EOMONTH(F5,1 )</f>
        <v>46295</v>
      </c>
      <c r="H5" s="495">
        <f t="shared" si="0"/>
        <v>46326</v>
      </c>
      <c r="I5" s="495">
        <f t="shared" si="0"/>
        <v>46356</v>
      </c>
      <c r="J5" s="495">
        <f t="shared" si="0"/>
        <v>46387</v>
      </c>
      <c r="K5" s="495">
        <f t="shared" si="0"/>
        <v>46418</v>
      </c>
      <c r="L5" s="495">
        <f t="shared" si="0"/>
        <v>46446</v>
      </c>
      <c r="M5" s="495">
        <f t="shared" si="0"/>
        <v>46477</v>
      </c>
      <c r="N5" s="495">
        <f t="shared" si="0"/>
        <v>46507</v>
      </c>
      <c r="O5" s="495">
        <f t="shared" si="0"/>
        <v>46538</v>
      </c>
      <c r="P5" s="495">
        <f t="shared" si="0"/>
        <v>46568</v>
      </c>
      <c r="Q5" s="459" t="s">
        <v>18</v>
      </c>
      <c r="R5" s="460" t="s">
        <v>255</v>
      </c>
      <c r="S5" s="103"/>
      <c r="T5" s="103"/>
      <c r="U5" s="103"/>
      <c r="V5" s="103"/>
      <c r="W5" s="103"/>
      <c r="X5" s="103"/>
      <c r="Y5" s="103"/>
      <c r="Z5" s="103"/>
      <c r="AA5" s="103"/>
      <c r="AB5" s="103"/>
      <c r="AC5" s="103"/>
    </row>
    <row r="6" spans="1:29" s="2" customFormat="1" ht="14.4" customHeight="1" thickBot="1" x14ac:dyDescent="0.35">
      <c r="A6" s="105"/>
      <c r="B6" s="461" t="s">
        <v>166</v>
      </c>
      <c r="C6" s="450" t="s">
        <v>263</v>
      </c>
      <c r="D6" s="435" t="s">
        <v>272</v>
      </c>
      <c r="E6" s="443">
        <f>+INDEX('Marketing List - Dropdowns'!G5:I12,MATCH('Marketing Stack'!D6,'Marketing List - Dropdowns'!F5:F12,0),MATCH('Marketing List - Dropdowns'!E4,'Marketing List - Dropdowns'!G4:I4,0))</f>
        <v>1625</v>
      </c>
      <c r="F6" s="443">
        <f t="shared" ref="F6:P6" si="1">+E6</f>
        <v>1625</v>
      </c>
      <c r="G6" s="444">
        <f t="shared" si="1"/>
        <v>1625</v>
      </c>
      <c r="H6" s="444">
        <f t="shared" si="1"/>
        <v>1625</v>
      </c>
      <c r="I6" s="444">
        <f t="shared" si="1"/>
        <v>1625</v>
      </c>
      <c r="J6" s="444">
        <f t="shared" si="1"/>
        <v>1625</v>
      </c>
      <c r="K6" s="444">
        <f t="shared" si="1"/>
        <v>1625</v>
      </c>
      <c r="L6" s="444">
        <f t="shared" si="1"/>
        <v>1625</v>
      </c>
      <c r="M6" s="444">
        <f t="shared" si="1"/>
        <v>1625</v>
      </c>
      <c r="N6" s="444">
        <f t="shared" si="1"/>
        <v>1625</v>
      </c>
      <c r="O6" s="444">
        <f t="shared" si="1"/>
        <v>1625</v>
      </c>
      <c r="P6" s="474">
        <f t="shared" si="1"/>
        <v>1625</v>
      </c>
      <c r="Q6" s="479">
        <f>SUM(E6:P6)</f>
        <v>19500</v>
      </c>
      <c r="R6" s="462"/>
      <c r="S6" s="3"/>
      <c r="T6" s="3"/>
      <c r="U6" s="3"/>
      <c r="V6" s="3"/>
      <c r="W6" s="3"/>
      <c r="X6" s="3"/>
      <c r="Y6" s="3"/>
      <c r="Z6" s="3"/>
      <c r="AA6" s="3"/>
      <c r="AB6" s="3"/>
      <c r="AC6" s="3"/>
    </row>
    <row r="7" spans="1:29" s="108" customFormat="1" ht="14.4" customHeight="1" thickBot="1" x14ac:dyDescent="0.35">
      <c r="A7" s="106"/>
      <c r="B7" s="463" t="s">
        <v>166</v>
      </c>
      <c r="C7" s="451" t="s">
        <v>289</v>
      </c>
      <c r="D7" s="436">
        <v>3000</v>
      </c>
      <c r="E7" s="445">
        <f>+D7</f>
        <v>3000</v>
      </c>
      <c r="F7" s="445">
        <f t="shared" ref="F7:P7" si="2">+E7</f>
        <v>3000</v>
      </c>
      <c r="G7" s="445">
        <f t="shared" si="2"/>
        <v>3000</v>
      </c>
      <c r="H7" s="445">
        <f t="shared" si="2"/>
        <v>3000</v>
      </c>
      <c r="I7" s="445">
        <f t="shared" si="2"/>
        <v>3000</v>
      </c>
      <c r="J7" s="445">
        <f t="shared" si="2"/>
        <v>3000</v>
      </c>
      <c r="K7" s="445">
        <f t="shared" si="2"/>
        <v>3000</v>
      </c>
      <c r="L7" s="445">
        <f t="shared" si="2"/>
        <v>3000</v>
      </c>
      <c r="M7" s="445">
        <f t="shared" si="2"/>
        <v>3000</v>
      </c>
      <c r="N7" s="445">
        <f t="shared" si="2"/>
        <v>3000</v>
      </c>
      <c r="O7" s="445">
        <f t="shared" si="2"/>
        <v>3000</v>
      </c>
      <c r="P7" s="475">
        <f t="shared" si="2"/>
        <v>3000</v>
      </c>
      <c r="Q7" s="479">
        <f>+SUM(E7:P7)</f>
        <v>36000</v>
      </c>
      <c r="R7" s="464"/>
      <c r="S7" s="107"/>
      <c r="T7" s="107"/>
      <c r="U7" s="107"/>
      <c r="V7" s="107"/>
      <c r="W7" s="107"/>
      <c r="X7" s="107"/>
      <c r="Y7" s="107"/>
      <c r="Z7" s="107"/>
      <c r="AA7" s="107"/>
      <c r="AB7" s="107"/>
      <c r="AC7" s="107"/>
    </row>
    <row r="8" spans="1:29" s="108" customFormat="1" ht="14.4" customHeight="1" thickBot="1" x14ac:dyDescent="0.35">
      <c r="A8" s="106"/>
      <c r="B8" s="463" t="s">
        <v>166</v>
      </c>
      <c r="C8" s="452" t="s">
        <v>249</v>
      </c>
      <c r="D8" s="437" t="s">
        <v>260</v>
      </c>
      <c r="E8" s="446">
        <f>+IF(D8="Yes",'Marketing List - Dropdowns'!$P$4,0)</f>
        <v>350</v>
      </c>
      <c r="F8" s="447">
        <f t="shared" ref="F8:P8" si="3">+E8</f>
        <v>350</v>
      </c>
      <c r="G8" s="447">
        <f t="shared" si="3"/>
        <v>350</v>
      </c>
      <c r="H8" s="447">
        <f t="shared" si="3"/>
        <v>350</v>
      </c>
      <c r="I8" s="447">
        <f t="shared" si="3"/>
        <v>350</v>
      </c>
      <c r="J8" s="447">
        <f t="shared" si="3"/>
        <v>350</v>
      </c>
      <c r="K8" s="447">
        <f t="shared" si="3"/>
        <v>350</v>
      </c>
      <c r="L8" s="447">
        <f t="shared" si="3"/>
        <v>350</v>
      </c>
      <c r="M8" s="447">
        <f t="shared" si="3"/>
        <v>350</v>
      </c>
      <c r="N8" s="447">
        <f t="shared" si="3"/>
        <v>350</v>
      </c>
      <c r="O8" s="447">
        <f t="shared" si="3"/>
        <v>350</v>
      </c>
      <c r="P8" s="476">
        <f t="shared" si="3"/>
        <v>350</v>
      </c>
      <c r="Q8" s="479">
        <f>+SUM(E8:P8)</f>
        <v>4200</v>
      </c>
      <c r="R8" s="464"/>
      <c r="S8" s="107"/>
      <c r="T8" s="107"/>
      <c r="U8" s="107"/>
      <c r="V8" s="107"/>
      <c r="W8" s="107"/>
      <c r="X8" s="107"/>
      <c r="Y8" s="107"/>
      <c r="Z8" s="107"/>
      <c r="AA8" s="107"/>
      <c r="AB8" s="107"/>
      <c r="AC8" s="107"/>
    </row>
    <row r="9" spans="1:29" s="108" customFormat="1" ht="14.4" customHeight="1" thickBot="1" x14ac:dyDescent="0.35">
      <c r="A9" s="106"/>
      <c r="B9" s="463" t="s">
        <v>166</v>
      </c>
      <c r="C9" s="452" t="s">
        <v>250</v>
      </c>
      <c r="D9" s="438" t="s">
        <v>260</v>
      </c>
      <c r="E9" s="444">
        <v>0</v>
      </c>
      <c r="F9" s="444">
        <v>0</v>
      </c>
      <c r="G9" s="444">
        <v>350</v>
      </c>
      <c r="H9" s="444">
        <f>E9</f>
        <v>0</v>
      </c>
      <c r="I9" s="444">
        <f>F9</f>
        <v>0</v>
      </c>
      <c r="J9" s="444">
        <f>G9</f>
        <v>350</v>
      </c>
      <c r="K9" s="444">
        <f>H9</f>
        <v>0</v>
      </c>
      <c r="L9" s="444">
        <f>I9</f>
        <v>0</v>
      </c>
      <c r="M9" s="444">
        <f>G9</f>
        <v>350</v>
      </c>
      <c r="N9" s="444">
        <f>H9</f>
        <v>0</v>
      </c>
      <c r="O9" s="444">
        <f>I9</f>
        <v>0</v>
      </c>
      <c r="P9" s="474">
        <f>J9</f>
        <v>350</v>
      </c>
      <c r="Q9" s="479">
        <f>+SUM(E9:P9)</f>
        <v>1400</v>
      </c>
      <c r="R9" s="464"/>
      <c r="S9" s="107"/>
      <c r="T9" s="109"/>
      <c r="U9" s="107"/>
      <c r="V9" s="107"/>
      <c r="W9" s="107"/>
      <c r="X9" s="107"/>
      <c r="Y9" s="109"/>
      <c r="Z9" s="107"/>
      <c r="AA9" s="107"/>
      <c r="AB9" s="107"/>
      <c r="AC9" s="107"/>
    </row>
    <row r="10" spans="1:29" s="108" customFormat="1" ht="14.4" customHeight="1" thickBot="1" x14ac:dyDescent="0.35">
      <c r="A10" s="106"/>
      <c r="B10" s="463" t="s">
        <v>166</v>
      </c>
      <c r="C10" s="452" t="s">
        <v>436</v>
      </c>
      <c r="D10" s="438" t="s">
        <v>260</v>
      </c>
      <c r="E10" s="444">
        <f>+IF(D10="Yes",'Marketing List - Dropdowns'!$S$4,0)</f>
        <v>300</v>
      </c>
      <c r="F10" s="444">
        <f t="shared" ref="F10:P10" si="4">+E10</f>
        <v>300</v>
      </c>
      <c r="G10" s="444">
        <f t="shared" si="4"/>
        <v>300</v>
      </c>
      <c r="H10" s="444">
        <f t="shared" si="4"/>
        <v>300</v>
      </c>
      <c r="I10" s="444">
        <f t="shared" si="4"/>
        <v>300</v>
      </c>
      <c r="J10" s="444">
        <f t="shared" si="4"/>
        <v>300</v>
      </c>
      <c r="K10" s="444">
        <f t="shared" si="4"/>
        <v>300</v>
      </c>
      <c r="L10" s="444">
        <f t="shared" si="4"/>
        <v>300</v>
      </c>
      <c r="M10" s="444">
        <f t="shared" si="4"/>
        <v>300</v>
      </c>
      <c r="N10" s="444">
        <f t="shared" si="4"/>
        <v>300</v>
      </c>
      <c r="O10" s="444">
        <f t="shared" si="4"/>
        <v>300</v>
      </c>
      <c r="P10" s="474">
        <f t="shared" si="4"/>
        <v>300</v>
      </c>
      <c r="Q10" s="479">
        <f>+SUM(E10:P10)</f>
        <v>3600</v>
      </c>
      <c r="R10" s="464"/>
      <c r="S10" s="107"/>
      <c r="T10" s="110"/>
      <c r="U10" s="107"/>
      <c r="V10" s="107"/>
      <c r="W10" s="107"/>
      <c r="X10" s="107"/>
      <c r="Y10" s="109"/>
      <c r="Z10" s="107"/>
      <c r="AA10" s="107"/>
      <c r="AB10" s="107"/>
      <c r="AC10" s="107"/>
    </row>
    <row r="11" spans="1:29" s="108" customFormat="1" ht="14.4" customHeight="1" thickBot="1" x14ac:dyDescent="0.35">
      <c r="A11" s="106"/>
      <c r="B11" s="463" t="s">
        <v>166</v>
      </c>
      <c r="C11" s="452" t="s">
        <v>361</v>
      </c>
      <c r="D11" s="438"/>
      <c r="E11" s="444"/>
      <c r="F11" s="444"/>
      <c r="G11" s="444"/>
      <c r="H11" s="444"/>
      <c r="I11" s="444"/>
      <c r="J11" s="444"/>
      <c r="K11" s="444"/>
      <c r="L11" s="444"/>
      <c r="M11" s="444"/>
      <c r="N11" s="444"/>
      <c r="O11" s="444"/>
      <c r="P11" s="474"/>
      <c r="Q11" s="479"/>
      <c r="R11" s="464"/>
      <c r="S11" s="107"/>
      <c r="T11" s="110"/>
      <c r="U11" s="107"/>
      <c r="V11" s="107"/>
      <c r="W11" s="107"/>
      <c r="X11" s="107"/>
      <c r="Y11" s="109"/>
      <c r="Z11" s="107"/>
      <c r="AA11" s="107"/>
      <c r="AB11" s="107"/>
      <c r="AC11" s="107"/>
    </row>
    <row r="12" spans="1:29" s="108" customFormat="1" ht="14.4" customHeight="1" thickBot="1" x14ac:dyDescent="0.35">
      <c r="A12" s="106"/>
      <c r="B12" s="465" t="s">
        <v>169</v>
      </c>
      <c r="C12" s="453" t="s">
        <v>362</v>
      </c>
      <c r="D12" s="438" t="s">
        <v>261</v>
      </c>
      <c r="E12" s="444">
        <f>IF(D12="Yes",'Marketing List - Dropdowns'!G25,0)</f>
        <v>0</v>
      </c>
      <c r="F12" s="444">
        <f>E12</f>
        <v>0</v>
      </c>
      <c r="G12" s="444">
        <f t="shared" ref="G12:P12" si="5">F12</f>
        <v>0</v>
      </c>
      <c r="H12" s="444">
        <f t="shared" si="5"/>
        <v>0</v>
      </c>
      <c r="I12" s="444">
        <f t="shared" si="5"/>
        <v>0</v>
      </c>
      <c r="J12" s="444">
        <f t="shared" si="5"/>
        <v>0</v>
      </c>
      <c r="K12" s="444">
        <f t="shared" si="5"/>
        <v>0</v>
      </c>
      <c r="L12" s="444">
        <f t="shared" si="5"/>
        <v>0</v>
      </c>
      <c r="M12" s="444">
        <f t="shared" si="5"/>
        <v>0</v>
      </c>
      <c r="N12" s="444">
        <f t="shared" si="5"/>
        <v>0</v>
      </c>
      <c r="O12" s="444">
        <f t="shared" si="5"/>
        <v>0</v>
      </c>
      <c r="P12" s="474">
        <f t="shared" si="5"/>
        <v>0</v>
      </c>
      <c r="Q12" s="479">
        <f t="shared" ref="Q12:Q37" si="6">+SUM(E12:P12)</f>
        <v>0</v>
      </c>
      <c r="R12" s="464"/>
      <c r="S12" s="107"/>
      <c r="T12" s="110"/>
      <c r="U12" s="107"/>
      <c r="V12" s="107"/>
      <c r="W12" s="107"/>
      <c r="X12" s="107"/>
      <c r="Y12" s="109"/>
      <c r="Z12" s="107"/>
      <c r="AA12" s="107"/>
      <c r="AB12" s="107"/>
      <c r="AC12" s="107"/>
    </row>
    <row r="13" spans="1:29" s="108" customFormat="1" ht="14.4" customHeight="1" thickBot="1" x14ac:dyDescent="0.35">
      <c r="A13" s="106"/>
      <c r="B13" s="465" t="s">
        <v>169</v>
      </c>
      <c r="C13" s="453" t="s">
        <v>365</v>
      </c>
      <c r="D13" s="438">
        <v>0</v>
      </c>
      <c r="E13" s="444">
        <f>+INDEX('Marketing List - Dropdowns'!G19:G24,MATCH('Marketing Stack'!D13,'Marketing List - Dropdowns'!F19:F31,0))</f>
        <v>0</v>
      </c>
      <c r="F13" s="444">
        <f t="shared" ref="F13:P13" si="7">+E13</f>
        <v>0</v>
      </c>
      <c r="G13" s="444">
        <f t="shared" si="7"/>
        <v>0</v>
      </c>
      <c r="H13" s="444">
        <f t="shared" si="7"/>
        <v>0</v>
      </c>
      <c r="I13" s="444">
        <f t="shared" si="7"/>
        <v>0</v>
      </c>
      <c r="J13" s="444">
        <f t="shared" si="7"/>
        <v>0</v>
      </c>
      <c r="K13" s="444">
        <f t="shared" si="7"/>
        <v>0</v>
      </c>
      <c r="L13" s="444">
        <f t="shared" si="7"/>
        <v>0</v>
      </c>
      <c r="M13" s="444">
        <f t="shared" si="7"/>
        <v>0</v>
      </c>
      <c r="N13" s="444">
        <f t="shared" si="7"/>
        <v>0</v>
      </c>
      <c r="O13" s="444">
        <f t="shared" si="7"/>
        <v>0</v>
      </c>
      <c r="P13" s="474">
        <f t="shared" si="7"/>
        <v>0</v>
      </c>
      <c r="Q13" s="479">
        <f t="shared" si="6"/>
        <v>0</v>
      </c>
      <c r="R13" s="464" t="str">
        <f>IF(D12="yes", "Referral fee is $409/lease plus monthly cost of $63.","")</f>
        <v/>
      </c>
      <c r="S13" s="107"/>
      <c r="T13" s="109"/>
      <c r="U13" s="107"/>
      <c r="V13" s="107"/>
      <c r="W13" s="107"/>
      <c r="X13" s="107"/>
      <c r="Y13" s="109"/>
      <c r="Z13" s="107"/>
      <c r="AA13" s="107"/>
      <c r="AB13" s="107"/>
      <c r="AC13" s="107"/>
    </row>
    <row r="14" spans="1:29" s="108" customFormat="1" ht="14.4" customHeight="1" thickBot="1" x14ac:dyDescent="0.35">
      <c r="A14" s="106"/>
      <c r="B14" s="463" t="s">
        <v>169</v>
      </c>
      <c r="C14" s="452" t="s">
        <v>254</v>
      </c>
      <c r="D14" s="438"/>
      <c r="E14" s="444"/>
      <c r="F14" s="444"/>
      <c r="G14" s="444"/>
      <c r="H14" s="444"/>
      <c r="I14" s="444"/>
      <c r="J14" s="444"/>
      <c r="K14" s="444"/>
      <c r="L14" s="444"/>
      <c r="M14" s="444"/>
      <c r="N14" s="444"/>
      <c r="O14" s="444"/>
      <c r="P14" s="474"/>
      <c r="Q14" s="479"/>
      <c r="R14" s="464"/>
      <c r="S14" s="107"/>
      <c r="T14" s="107"/>
      <c r="U14" s="107"/>
      <c r="V14" s="107"/>
      <c r="W14" s="107"/>
      <c r="X14" s="107"/>
      <c r="Y14" s="107"/>
      <c r="Z14" s="107"/>
      <c r="AA14" s="107"/>
      <c r="AB14" s="107"/>
      <c r="AC14" s="107"/>
    </row>
    <row r="15" spans="1:29" s="108" customFormat="1" ht="14.4" customHeight="1" thickBot="1" x14ac:dyDescent="0.35">
      <c r="A15" s="106"/>
      <c r="B15" s="463" t="s">
        <v>169</v>
      </c>
      <c r="C15" s="452" t="s">
        <v>363</v>
      </c>
      <c r="D15" s="438" t="s">
        <v>261</v>
      </c>
      <c r="E15" s="444">
        <f>IF(D15="Yes",'Marketing List - Dropdowns'!$G$37,0)</f>
        <v>0</v>
      </c>
      <c r="F15" s="444">
        <f>E15</f>
        <v>0</v>
      </c>
      <c r="G15" s="444">
        <f t="shared" ref="G15:P15" si="8">F15</f>
        <v>0</v>
      </c>
      <c r="H15" s="444">
        <f t="shared" si="8"/>
        <v>0</v>
      </c>
      <c r="I15" s="444">
        <f t="shared" si="8"/>
        <v>0</v>
      </c>
      <c r="J15" s="444">
        <f t="shared" si="8"/>
        <v>0</v>
      </c>
      <c r="K15" s="444">
        <f t="shared" si="8"/>
        <v>0</v>
      </c>
      <c r="L15" s="444">
        <f t="shared" si="8"/>
        <v>0</v>
      </c>
      <c r="M15" s="444">
        <f t="shared" si="8"/>
        <v>0</v>
      </c>
      <c r="N15" s="444">
        <f t="shared" si="8"/>
        <v>0</v>
      </c>
      <c r="O15" s="444">
        <f t="shared" si="8"/>
        <v>0</v>
      </c>
      <c r="P15" s="474">
        <f t="shared" si="8"/>
        <v>0</v>
      </c>
      <c r="Q15" s="479">
        <f>+SUM(E15:P15)</f>
        <v>0</v>
      </c>
      <c r="R15" s="464"/>
      <c r="S15" s="107"/>
      <c r="T15" s="107"/>
      <c r="U15" s="107"/>
      <c r="V15" s="107"/>
      <c r="W15" s="107"/>
      <c r="X15" s="107"/>
      <c r="Y15" s="107"/>
      <c r="Z15" s="107"/>
      <c r="AA15" s="107"/>
      <c r="AB15" s="107"/>
      <c r="AC15" s="107"/>
    </row>
    <row r="16" spans="1:29" s="108" customFormat="1" ht="14.4" customHeight="1" thickBot="1" x14ac:dyDescent="0.35">
      <c r="A16" s="106"/>
      <c r="B16" s="466" t="s">
        <v>169</v>
      </c>
      <c r="C16" s="454" t="s">
        <v>366</v>
      </c>
      <c r="D16" s="438">
        <v>0</v>
      </c>
      <c r="E16" s="444">
        <f>+INDEX('Marketing List - Dropdowns'!G31:G36,MATCH('Marketing Stack'!D16,'Marketing List - Dropdowns'!F31:F36,0))</f>
        <v>0</v>
      </c>
      <c r="F16" s="444">
        <f>E16</f>
        <v>0</v>
      </c>
      <c r="G16" s="444">
        <f t="shared" ref="G16:P16" si="9">F16</f>
        <v>0</v>
      </c>
      <c r="H16" s="444">
        <f t="shared" si="9"/>
        <v>0</v>
      </c>
      <c r="I16" s="444">
        <f t="shared" si="9"/>
        <v>0</v>
      </c>
      <c r="J16" s="444">
        <f t="shared" si="9"/>
        <v>0</v>
      </c>
      <c r="K16" s="444">
        <f t="shared" si="9"/>
        <v>0</v>
      </c>
      <c r="L16" s="444">
        <f t="shared" si="9"/>
        <v>0</v>
      </c>
      <c r="M16" s="444">
        <f t="shared" si="9"/>
        <v>0</v>
      </c>
      <c r="N16" s="444">
        <f t="shared" si="9"/>
        <v>0</v>
      </c>
      <c r="O16" s="444">
        <f t="shared" si="9"/>
        <v>0</v>
      </c>
      <c r="P16" s="474">
        <f t="shared" si="9"/>
        <v>0</v>
      </c>
      <c r="Q16" s="479">
        <f>+SUM(E16:P16)</f>
        <v>0</v>
      </c>
      <c r="R16" s="464"/>
      <c r="S16" s="107"/>
      <c r="T16" s="107"/>
      <c r="U16" s="107"/>
      <c r="V16" s="107"/>
      <c r="W16" s="107"/>
      <c r="X16" s="107"/>
      <c r="Y16" s="107"/>
      <c r="Z16" s="107"/>
      <c r="AA16" s="107"/>
      <c r="AB16" s="107"/>
      <c r="AC16" s="107"/>
    </row>
    <row r="17" spans="1:29" s="108" customFormat="1" ht="14.4" customHeight="1" thickBot="1" x14ac:dyDescent="0.35">
      <c r="A17" s="106"/>
      <c r="B17" s="463" t="s">
        <v>166</v>
      </c>
      <c r="C17" s="452" t="s">
        <v>251</v>
      </c>
      <c r="D17" s="438"/>
      <c r="E17" s="444"/>
      <c r="F17" s="444"/>
      <c r="G17" s="444"/>
      <c r="H17" s="444"/>
      <c r="I17" s="444"/>
      <c r="J17" s="444"/>
      <c r="K17" s="444"/>
      <c r="L17" s="444"/>
      <c r="M17" s="444"/>
      <c r="N17" s="444"/>
      <c r="O17" s="444"/>
      <c r="P17" s="474"/>
      <c r="Q17" s="479">
        <f t="shared" si="6"/>
        <v>0</v>
      </c>
      <c r="R17" s="464"/>
      <c r="S17" s="107"/>
      <c r="T17" s="109"/>
      <c r="U17" s="107"/>
      <c r="V17" s="107"/>
      <c r="W17" s="107"/>
      <c r="X17" s="107"/>
      <c r="Y17" s="107"/>
      <c r="Z17" s="107"/>
      <c r="AA17" s="107"/>
      <c r="AB17" s="107"/>
      <c r="AC17" s="107"/>
    </row>
    <row r="18" spans="1:29" s="108" customFormat="1" ht="14.4" customHeight="1" thickBot="1" x14ac:dyDescent="0.35">
      <c r="A18" s="106"/>
      <c r="B18" s="463" t="s">
        <v>166</v>
      </c>
      <c r="C18" s="452" t="s">
        <v>435</v>
      </c>
      <c r="D18" s="438" t="s">
        <v>261</v>
      </c>
      <c r="E18" s="444"/>
      <c r="F18" s="444"/>
      <c r="G18" s="444"/>
      <c r="H18" s="444"/>
      <c r="I18" s="444"/>
      <c r="J18" s="444"/>
      <c r="K18" s="444"/>
      <c r="L18" s="444"/>
      <c r="M18" s="444"/>
      <c r="N18" s="444"/>
      <c r="O18" s="444"/>
      <c r="P18" s="474"/>
      <c r="Q18" s="479">
        <f t="shared" si="6"/>
        <v>0</v>
      </c>
      <c r="R18" s="464"/>
      <c r="S18" s="107"/>
      <c r="T18" s="109"/>
      <c r="U18" s="107"/>
      <c r="V18" s="107"/>
      <c r="W18" s="107"/>
      <c r="X18" s="107"/>
      <c r="Y18" s="107"/>
      <c r="Z18" s="107"/>
      <c r="AA18" s="107"/>
      <c r="AB18" s="107"/>
      <c r="AC18" s="107"/>
    </row>
    <row r="19" spans="1:29" s="108" customFormat="1" ht="14.4" customHeight="1" thickBot="1" x14ac:dyDescent="0.35">
      <c r="A19" s="106"/>
      <c r="B19" s="467" t="s">
        <v>166</v>
      </c>
      <c r="C19" s="455" t="s">
        <v>252</v>
      </c>
      <c r="D19" s="438"/>
      <c r="E19" s="444"/>
      <c r="F19" s="444"/>
      <c r="G19" s="444"/>
      <c r="H19" s="444"/>
      <c r="I19" s="444"/>
      <c r="J19" s="444"/>
      <c r="K19" s="444"/>
      <c r="L19" s="444"/>
      <c r="M19" s="444"/>
      <c r="N19" s="444"/>
      <c r="O19" s="444"/>
      <c r="P19" s="474"/>
      <c r="Q19" s="479">
        <f t="shared" si="6"/>
        <v>0</v>
      </c>
      <c r="R19" s="464"/>
      <c r="S19" s="107"/>
      <c r="T19" s="107"/>
      <c r="U19" s="107"/>
      <c r="V19" s="107"/>
      <c r="W19" s="107"/>
      <c r="X19" s="107"/>
      <c r="Y19" s="107"/>
      <c r="Z19" s="107"/>
      <c r="AA19" s="107"/>
      <c r="AB19" s="107"/>
      <c r="AC19" s="107"/>
    </row>
    <row r="20" spans="1:29" s="108" customFormat="1" ht="14.4" customHeight="1" thickBot="1" x14ac:dyDescent="0.35">
      <c r="A20" s="106"/>
      <c r="B20" s="467" t="s">
        <v>166</v>
      </c>
      <c r="C20" s="455" t="s">
        <v>253</v>
      </c>
      <c r="D20" s="438" t="s">
        <v>260</v>
      </c>
      <c r="E20" s="444">
        <f>+IF(D20="Yes",'Marketing List - Dropdowns'!$N$18,0)</f>
        <v>55</v>
      </c>
      <c r="F20" s="444">
        <f t="shared" ref="F20:P20" si="10">+E20</f>
        <v>55</v>
      </c>
      <c r="G20" s="444">
        <f t="shared" si="10"/>
        <v>55</v>
      </c>
      <c r="H20" s="444">
        <f t="shared" si="10"/>
        <v>55</v>
      </c>
      <c r="I20" s="444">
        <f t="shared" si="10"/>
        <v>55</v>
      </c>
      <c r="J20" s="444">
        <f t="shared" si="10"/>
        <v>55</v>
      </c>
      <c r="K20" s="444">
        <f t="shared" si="10"/>
        <v>55</v>
      </c>
      <c r="L20" s="444">
        <f t="shared" si="10"/>
        <v>55</v>
      </c>
      <c r="M20" s="444">
        <f t="shared" si="10"/>
        <v>55</v>
      </c>
      <c r="N20" s="444">
        <f t="shared" si="10"/>
        <v>55</v>
      </c>
      <c r="O20" s="444">
        <f t="shared" si="10"/>
        <v>55</v>
      </c>
      <c r="P20" s="474">
        <f t="shared" si="10"/>
        <v>55</v>
      </c>
      <c r="Q20" s="479">
        <f t="shared" si="6"/>
        <v>660</v>
      </c>
      <c r="R20" s="464"/>
      <c r="S20" s="107"/>
      <c r="T20" s="107"/>
      <c r="U20" s="107"/>
      <c r="V20" s="107"/>
      <c r="W20" s="107"/>
      <c r="X20" s="107"/>
      <c r="Y20" s="107"/>
      <c r="Z20" s="107"/>
      <c r="AA20" s="107"/>
      <c r="AB20" s="107"/>
      <c r="AC20" s="107"/>
    </row>
    <row r="21" spans="1:29" s="108" customFormat="1" ht="14.4" customHeight="1" thickBot="1" x14ac:dyDescent="0.35">
      <c r="A21" s="106"/>
      <c r="B21" s="463" t="s">
        <v>166</v>
      </c>
      <c r="C21" s="452" t="s">
        <v>440</v>
      </c>
      <c r="D21" s="438" t="s">
        <v>260</v>
      </c>
      <c r="E21" s="444">
        <f>+IF(D21="Yes",'Marketing List - Dropdowns'!Q18*'Marketing Stack'!$B$3,0)</f>
        <v>0</v>
      </c>
      <c r="F21" s="444">
        <f t="shared" ref="F21:P21" si="11">+E21</f>
        <v>0</v>
      </c>
      <c r="G21" s="444">
        <f t="shared" si="11"/>
        <v>0</v>
      </c>
      <c r="H21" s="444">
        <f t="shared" si="11"/>
        <v>0</v>
      </c>
      <c r="I21" s="444">
        <f t="shared" si="11"/>
        <v>0</v>
      </c>
      <c r="J21" s="444">
        <f t="shared" si="11"/>
        <v>0</v>
      </c>
      <c r="K21" s="444">
        <f t="shared" si="11"/>
        <v>0</v>
      </c>
      <c r="L21" s="444">
        <f t="shared" si="11"/>
        <v>0</v>
      </c>
      <c r="M21" s="444">
        <f t="shared" si="11"/>
        <v>0</v>
      </c>
      <c r="N21" s="444">
        <f t="shared" si="11"/>
        <v>0</v>
      </c>
      <c r="O21" s="444">
        <f t="shared" si="11"/>
        <v>0</v>
      </c>
      <c r="P21" s="474">
        <f t="shared" si="11"/>
        <v>0</v>
      </c>
      <c r="Q21" s="479">
        <f t="shared" si="6"/>
        <v>0</v>
      </c>
      <c r="R21" s="464"/>
      <c r="S21" s="107"/>
      <c r="T21" s="107"/>
      <c r="U21" s="107"/>
      <c r="V21" s="107"/>
      <c r="W21" s="107"/>
      <c r="X21" s="107"/>
      <c r="Y21" s="107"/>
      <c r="Z21" s="107"/>
      <c r="AA21" s="107"/>
      <c r="AB21" s="107"/>
      <c r="AC21" s="107"/>
    </row>
    <row r="22" spans="1:29" s="108" customFormat="1" ht="14.4" customHeight="1" thickBot="1" x14ac:dyDescent="0.35">
      <c r="A22" s="106"/>
      <c r="B22" s="466" t="s">
        <v>166</v>
      </c>
      <c r="C22" s="454" t="s">
        <v>434</v>
      </c>
      <c r="D22" s="438" t="s">
        <v>260</v>
      </c>
      <c r="E22" s="444">
        <v>400</v>
      </c>
      <c r="F22" s="444"/>
      <c r="G22" s="444"/>
      <c r="H22" s="444"/>
      <c r="I22" s="444"/>
      <c r="J22" s="444"/>
      <c r="K22" s="444"/>
      <c r="L22" s="444"/>
      <c r="M22" s="444"/>
      <c r="N22" s="444"/>
      <c r="O22" s="444"/>
      <c r="P22" s="474"/>
      <c r="Q22" s="479">
        <f t="shared" si="6"/>
        <v>400</v>
      </c>
      <c r="R22" s="464"/>
      <c r="S22" s="107"/>
      <c r="T22" s="107"/>
      <c r="U22" s="107"/>
      <c r="V22" s="107"/>
      <c r="W22" s="107"/>
      <c r="X22" s="107"/>
      <c r="Y22" s="107"/>
      <c r="Z22" s="107"/>
      <c r="AA22" s="107"/>
      <c r="AB22" s="107"/>
      <c r="AC22" s="107"/>
    </row>
    <row r="23" spans="1:29" s="108" customFormat="1" ht="14.4" customHeight="1" thickBot="1" x14ac:dyDescent="0.35">
      <c r="A23" s="106"/>
      <c r="B23" s="466" t="s">
        <v>166</v>
      </c>
      <c r="C23" s="454"/>
      <c r="D23" s="438"/>
      <c r="E23" s="444"/>
      <c r="F23" s="444"/>
      <c r="G23" s="444"/>
      <c r="H23" s="444"/>
      <c r="I23" s="444"/>
      <c r="J23" s="444"/>
      <c r="K23" s="444"/>
      <c r="L23" s="444"/>
      <c r="M23" s="444"/>
      <c r="N23" s="444"/>
      <c r="O23" s="444"/>
      <c r="P23" s="474"/>
      <c r="Q23" s="479">
        <f t="shared" si="6"/>
        <v>0</v>
      </c>
      <c r="R23" s="464"/>
      <c r="S23" s="107"/>
      <c r="T23" s="107"/>
      <c r="U23" s="107"/>
      <c r="V23" s="107"/>
      <c r="W23" s="107"/>
      <c r="X23" s="107"/>
      <c r="Y23" s="107"/>
      <c r="Z23" s="107"/>
      <c r="AA23" s="107"/>
      <c r="AB23" s="107"/>
      <c r="AC23" s="107"/>
    </row>
    <row r="24" spans="1:29" s="108" customFormat="1" ht="14.4" customHeight="1" thickBot="1" x14ac:dyDescent="0.35">
      <c r="A24" s="106"/>
      <c r="B24" s="465" t="s">
        <v>166</v>
      </c>
      <c r="C24" s="453" t="s">
        <v>290</v>
      </c>
      <c r="D24" s="438"/>
      <c r="E24" s="444"/>
      <c r="F24" s="444"/>
      <c r="G24" s="444"/>
      <c r="H24" s="444"/>
      <c r="I24" s="444"/>
      <c r="J24" s="444"/>
      <c r="K24" s="444"/>
      <c r="L24" s="444"/>
      <c r="M24" s="444"/>
      <c r="N24" s="444"/>
      <c r="O24" s="444"/>
      <c r="P24" s="474"/>
      <c r="Q24" s="479"/>
      <c r="R24" s="464"/>
      <c r="S24" s="107"/>
      <c r="T24" s="107"/>
      <c r="U24" s="107"/>
      <c r="V24" s="107"/>
      <c r="W24" s="107"/>
      <c r="X24" s="107"/>
      <c r="Y24" s="107"/>
      <c r="Z24" s="107"/>
      <c r="AA24" s="107"/>
      <c r="AB24" s="107"/>
      <c r="AC24" s="107"/>
    </row>
    <row r="25" spans="1:29" s="108" customFormat="1" ht="14.4" customHeight="1" thickBot="1" x14ac:dyDescent="0.35">
      <c r="A25" s="106"/>
      <c r="B25" s="467" t="s">
        <v>166</v>
      </c>
      <c r="C25" s="455" t="s">
        <v>291</v>
      </c>
      <c r="D25" s="439" t="s">
        <v>260</v>
      </c>
      <c r="E25" s="444">
        <f>+IF(D25="Yes",'Marketing List - Dropdowns'!$T$19,0)</f>
        <v>81</v>
      </c>
      <c r="F25" s="444">
        <f>+E25</f>
        <v>81</v>
      </c>
      <c r="G25" s="444">
        <f t="shared" ref="G25:P25" si="12">+F25</f>
        <v>81</v>
      </c>
      <c r="H25" s="444">
        <f t="shared" si="12"/>
        <v>81</v>
      </c>
      <c r="I25" s="444">
        <f t="shared" si="12"/>
        <v>81</v>
      </c>
      <c r="J25" s="444">
        <f t="shared" si="12"/>
        <v>81</v>
      </c>
      <c r="K25" s="444">
        <f t="shared" si="12"/>
        <v>81</v>
      </c>
      <c r="L25" s="444">
        <f t="shared" si="12"/>
        <v>81</v>
      </c>
      <c r="M25" s="444">
        <f t="shared" si="12"/>
        <v>81</v>
      </c>
      <c r="N25" s="444">
        <f t="shared" si="12"/>
        <v>81</v>
      </c>
      <c r="O25" s="444">
        <f t="shared" si="12"/>
        <v>81</v>
      </c>
      <c r="P25" s="474">
        <f t="shared" si="12"/>
        <v>81</v>
      </c>
      <c r="Q25" s="479">
        <f t="shared" si="6"/>
        <v>972</v>
      </c>
      <c r="R25" s="464"/>
      <c r="S25" s="107"/>
      <c r="T25" s="107"/>
      <c r="U25" s="107"/>
      <c r="V25" s="107"/>
      <c r="W25" s="107"/>
      <c r="X25" s="107"/>
      <c r="Y25" s="107"/>
      <c r="Z25" s="107"/>
      <c r="AA25" s="107"/>
      <c r="AB25" s="107"/>
      <c r="AC25" s="107"/>
    </row>
    <row r="26" spans="1:29" s="108" customFormat="1" ht="14.4" customHeight="1" thickBot="1" x14ac:dyDescent="0.35">
      <c r="A26" s="106"/>
      <c r="B26" s="467" t="s">
        <v>166</v>
      </c>
      <c r="C26" s="455" t="s">
        <v>292</v>
      </c>
      <c r="D26" s="439" t="s">
        <v>261</v>
      </c>
      <c r="E26" s="444">
        <f>+IF(D26="Yes",'Marketing List - Dropdowns'!T18,0)</f>
        <v>0</v>
      </c>
      <c r="F26" s="444">
        <v>0</v>
      </c>
      <c r="G26" s="444">
        <v>0</v>
      </c>
      <c r="H26" s="444">
        <v>0</v>
      </c>
      <c r="I26" s="444">
        <v>0</v>
      </c>
      <c r="J26" s="444">
        <v>0</v>
      </c>
      <c r="K26" s="444">
        <v>0</v>
      </c>
      <c r="L26" s="444">
        <v>0</v>
      </c>
      <c r="M26" s="444">
        <v>0</v>
      </c>
      <c r="N26" s="444">
        <v>0</v>
      </c>
      <c r="O26" s="444">
        <v>0</v>
      </c>
      <c r="P26" s="474">
        <v>0</v>
      </c>
      <c r="Q26" s="479">
        <f t="shared" si="6"/>
        <v>0</v>
      </c>
      <c r="R26" s="464"/>
      <c r="S26" s="107"/>
      <c r="T26" s="107"/>
      <c r="U26" s="107"/>
      <c r="V26" s="107"/>
      <c r="W26" s="107"/>
      <c r="X26" s="107"/>
      <c r="Y26" s="107"/>
      <c r="Z26" s="107"/>
      <c r="AA26" s="107"/>
      <c r="AB26" s="107"/>
      <c r="AC26" s="107"/>
    </row>
    <row r="27" spans="1:29" s="108" customFormat="1" ht="14.4" customHeight="1" thickBot="1" x14ac:dyDescent="0.35">
      <c r="A27" s="106"/>
      <c r="B27" s="467" t="s">
        <v>166</v>
      </c>
      <c r="C27" s="455" t="s">
        <v>293</v>
      </c>
      <c r="D27" s="439" t="s">
        <v>261</v>
      </c>
      <c r="E27" s="444">
        <f>+IF(D27="Yes",'Marketing List - Dropdowns'!$W$19,0)</f>
        <v>0</v>
      </c>
      <c r="F27" s="444">
        <f>+E27</f>
        <v>0</v>
      </c>
      <c r="G27" s="444">
        <f t="shared" ref="G27:P27" si="13">+F27</f>
        <v>0</v>
      </c>
      <c r="H27" s="444">
        <f t="shared" si="13"/>
        <v>0</v>
      </c>
      <c r="I27" s="444">
        <f t="shared" si="13"/>
        <v>0</v>
      </c>
      <c r="J27" s="444">
        <f t="shared" si="13"/>
        <v>0</v>
      </c>
      <c r="K27" s="444">
        <f t="shared" si="13"/>
        <v>0</v>
      </c>
      <c r="L27" s="444">
        <f t="shared" si="13"/>
        <v>0</v>
      </c>
      <c r="M27" s="444">
        <f t="shared" si="13"/>
        <v>0</v>
      </c>
      <c r="N27" s="444">
        <f t="shared" si="13"/>
        <v>0</v>
      </c>
      <c r="O27" s="444">
        <f t="shared" si="13"/>
        <v>0</v>
      </c>
      <c r="P27" s="474">
        <f t="shared" si="13"/>
        <v>0</v>
      </c>
      <c r="Q27" s="479">
        <f t="shared" si="6"/>
        <v>0</v>
      </c>
      <c r="R27" s="464"/>
      <c r="S27" s="107"/>
      <c r="T27" s="107"/>
      <c r="U27" s="107"/>
      <c r="V27" s="107"/>
      <c r="W27" s="107"/>
      <c r="X27" s="107"/>
      <c r="Y27" s="107"/>
      <c r="Z27" s="107"/>
      <c r="AA27" s="107"/>
      <c r="AB27" s="107"/>
      <c r="AC27" s="107"/>
    </row>
    <row r="28" spans="1:29" s="108" customFormat="1" ht="14.4" customHeight="1" thickBot="1" x14ac:dyDescent="0.35">
      <c r="A28" s="106"/>
      <c r="B28" s="467" t="s">
        <v>166</v>
      </c>
      <c r="C28" s="455" t="s">
        <v>294</v>
      </c>
      <c r="D28" s="439" t="s">
        <v>261</v>
      </c>
      <c r="E28" s="444">
        <f>+IF(D28="Yes",'Marketing List - Dropdowns'!$W$18,0)</f>
        <v>0</v>
      </c>
      <c r="F28" s="444">
        <v>0</v>
      </c>
      <c r="G28" s="444">
        <v>0</v>
      </c>
      <c r="H28" s="444">
        <v>0</v>
      </c>
      <c r="I28" s="444">
        <v>0</v>
      </c>
      <c r="J28" s="444">
        <v>0</v>
      </c>
      <c r="K28" s="444">
        <v>0</v>
      </c>
      <c r="L28" s="444">
        <v>0</v>
      </c>
      <c r="M28" s="444">
        <v>0</v>
      </c>
      <c r="N28" s="444">
        <v>0</v>
      </c>
      <c r="O28" s="444">
        <v>0</v>
      </c>
      <c r="P28" s="474">
        <v>0</v>
      </c>
      <c r="Q28" s="479">
        <f t="shared" si="6"/>
        <v>0</v>
      </c>
      <c r="R28" s="464"/>
      <c r="S28" s="107"/>
      <c r="T28" s="107"/>
      <c r="U28" s="107"/>
      <c r="V28" s="107"/>
      <c r="W28" s="107"/>
      <c r="X28" s="107"/>
      <c r="Y28" s="107"/>
      <c r="Z28" s="107"/>
      <c r="AA28" s="107"/>
      <c r="AB28" s="107"/>
      <c r="AC28" s="107"/>
    </row>
    <row r="29" spans="1:29" s="108" customFormat="1" ht="14.4" customHeight="1" thickBot="1" x14ac:dyDescent="0.35">
      <c r="A29" s="106"/>
      <c r="B29" s="463" t="s">
        <v>168</v>
      </c>
      <c r="C29" s="452" t="s">
        <v>437</v>
      </c>
      <c r="D29" s="438"/>
      <c r="E29" s="444">
        <v>1250</v>
      </c>
      <c r="F29" s="444">
        <f>E29</f>
        <v>1250</v>
      </c>
      <c r="G29" s="444">
        <f t="shared" ref="G29:P29" si="14">F29</f>
        <v>1250</v>
      </c>
      <c r="H29" s="444">
        <f t="shared" si="14"/>
        <v>1250</v>
      </c>
      <c r="I29" s="444">
        <f t="shared" si="14"/>
        <v>1250</v>
      </c>
      <c r="J29" s="444">
        <f t="shared" si="14"/>
        <v>1250</v>
      </c>
      <c r="K29" s="444">
        <f t="shared" si="14"/>
        <v>1250</v>
      </c>
      <c r="L29" s="444">
        <f t="shared" si="14"/>
        <v>1250</v>
      </c>
      <c r="M29" s="444">
        <f t="shared" si="14"/>
        <v>1250</v>
      </c>
      <c r="N29" s="444">
        <f t="shared" si="14"/>
        <v>1250</v>
      </c>
      <c r="O29" s="444">
        <f t="shared" si="14"/>
        <v>1250</v>
      </c>
      <c r="P29" s="474">
        <f t="shared" si="14"/>
        <v>1250</v>
      </c>
      <c r="Q29" s="479">
        <f t="shared" si="6"/>
        <v>15000</v>
      </c>
      <c r="R29" s="464"/>
      <c r="S29" s="107"/>
      <c r="T29" s="107"/>
      <c r="U29" s="107"/>
      <c r="V29" s="107"/>
      <c r="W29" s="107"/>
      <c r="X29" s="107"/>
      <c r="Y29" s="107"/>
      <c r="Z29" s="107"/>
      <c r="AA29" s="107"/>
      <c r="AB29" s="107"/>
      <c r="AC29" s="107"/>
    </row>
    <row r="30" spans="1:29" s="108" customFormat="1" ht="14.4" customHeight="1" thickBot="1" x14ac:dyDescent="0.35">
      <c r="A30" s="106"/>
      <c r="B30" s="463" t="s">
        <v>167</v>
      </c>
      <c r="C30" s="452" t="s">
        <v>256</v>
      </c>
      <c r="D30" s="440"/>
      <c r="E30" s="444">
        <v>500</v>
      </c>
      <c r="F30" s="444">
        <f>E30</f>
        <v>500</v>
      </c>
      <c r="G30" s="444">
        <f t="shared" ref="G30:P30" si="15">F30</f>
        <v>500</v>
      </c>
      <c r="H30" s="444">
        <f t="shared" si="15"/>
        <v>500</v>
      </c>
      <c r="I30" s="444">
        <f t="shared" si="15"/>
        <v>500</v>
      </c>
      <c r="J30" s="444">
        <f t="shared" si="15"/>
        <v>500</v>
      </c>
      <c r="K30" s="444">
        <f t="shared" si="15"/>
        <v>500</v>
      </c>
      <c r="L30" s="444">
        <f t="shared" si="15"/>
        <v>500</v>
      </c>
      <c r="M30" s="444">
        <f t="shared" si="15"/>
        <v>500</v>
      </c>
      <c r="N30" s="444">
        <f t="shared" si="15"/>
        <v>500</v>
      </c>
      <c r="O30" s="444">
        <f t="shared" si="15"/>
        <v>500</v>
      </c>
      <c r="P30" s="474">
        <f t="shared" si="15"/>
        <v>500</v>
      </c>
      <c r="Q30" s="479">
        <f t="shared" si="6"/>
        <v>6000</v>
      </c>
      <c r="R30" s="464"/>
      <c r="S30" s="107"/>
      <c r="T30" s="107"/>
      <c r="U30" s="107"/>
      <c r="V30" s="107"/>
      <c r="W30" s="107"/>
      <c r="X30" s="107"/>
      <c r="Y30" s="107"/>
      <c r="Z30" s="107"/>
      <c r="AA30" s="107"/>
      <c r="AB30" s="107"/>
      <c r="AC30" s="107"/>
    </row>
    <row r="31" spans="1:29" s="108" customFormat="1" ht="14.4" customHeight="1" outlineLevel="1" thickBot="1" x14ac:dyDescent="0.35">
      <c r="A31" s="106"/>
      <c r="B31" s="468" t="s">
        <v>166</v>
      </c>
      <c r="C31" s="456"/>
      <c r="D31" s="440"/>
      <c r="E31" s="448"/>
      <c r="F31" s="448"/>
      <c r="G31" s="448"/>
      <c r="H31" s="448"/>
      <c r="I31" s="448"/>
      <c r="J31" s="448"/>
      <c r="K31" s="448"/>
      <c r="L31" s="448"/>
      <c r="M31" s="448"/>
      <c r="N31" s="448"/>
      <c r="O31" s="448"/>
      <c r="P31" s="477"/>
      <c r="Q31" s="479">
        <f t="shared" si="6"/>
        <v>0</v>
      </c>
      <c r="R31" s="464"/>
      <c r="S31" s="107"/>
      <c r="T31" s="107"/>
      <c r="U31" s="107"/>
      <c r="V31" s="107"/>
      <c r="W31" s="107"/>
      <c r="X31" s="107"/>
      <c r="Y31" s="107"/>
      <c r="Z31" s="107"/>
      <c r="AA31" s="107"/>
      <c r="AB31" s="107"/>
      <c r="AC31" s="107"/>
    </row>
    <row r="32" spans="1:29" s="108" customFormat="1" ht="14.4" customHeight="1" outlineLevel="1" thickBot="1" x14ac:dyDescent="0.35">
      <c r="A32" s="106"/>
      <c r="B32" s="463" t="s">
        <v>166</v>
      </c>
      <c r="C32" s="452"/>
      <c r="D32" s="438"/>
      <c r="E32" s="444"/>
      <c r="F32" s="444"/>
      <c r="G32" s="444"/>
      <c r="H32" s="444"/>
      <c r="I32" s="444"/>
      <c r="J32" s="444"/>
      <c r="K32" s="444"/>
      <c r="L32" s="444"/>
      <c r="M32" s="444"/>
      <c r="N32" s="444"/>
      <c r="O32" s="444"/>
      <c r="P32" s="474"/>
      <c r="Q32" s="479">
        <f t="shared" si="6"/>
        <v>0</v>
      </c>
      <c r="R32" s="464"/>
      <c r="S32" s="107"/>
      <c r="T32" s="107"/>
      <c r="U32" s="107"/>
      <c r="V32" s="107"/>
      <c r="W32" s="107"/>
      <c r="X32" s="107"/>
      <c r="Y32" s="107"/>
      <c r="Z32" s="107"/>
      <c r="AA32" s="107"/>
      <c r="AB32" s="107"/>
      <c r="AC32" s="107"/>
    </row>
    <row r="33" spans="1:29" s="108" customFormat="1" ht="14.4" customHeight="1" outlineLevel="1" thickBot="1" x14ac:dyDescent="0.35">
      <c r="A33" s="106"/>
      <c r="B33" s="463" t="s">
        <v>166</v>
      </c>
      <c r="C33" s="452"/>
      <c r="D33" s="438"/>
      <c r="E33" s="444"/>
      <c r="F33" s="444"/>
      <c r="G33" s="444"/>
      <c r="H33" s="444"/>
      <c r="I33" s="444"/>
      <c r="J33" s="444"/>
      <c r="K33" s="444"/>
      <c r="L33" s="444"/>
      <c r="M33" s="444"/>
      <c r="N33" s="444"/>
      <c r="O33" s="444"/>
      <c r="P33" s="474"/>
      <c r="Q33" s="479">
        <f t="shared" si="6"/>
        <v>0</v>
      </c>
      <c r="R33" s="464"/>
      <c r="S33" s="107"/>
      <c r="T33" s="107"/>
      <c r="U33" s="107"/>
      <c r="V33" s="107"/>
      <c r="W33" s="107"/>
      <c r="X33" s="107"/>
      <c r="Y33" s="107"/>
      <c r="Z33" s="107"/>
      <c r="AA33" s="107"/>
      <c r="AB33" s="107"/>
      <c r="AC33" s="107"/>
    </row>
    <row r="34" spans="1:29" s="108" customFormat="1" ht="14.4" customHeight="1" outlineLevel="1" thickBot="1" x14ac:dyDescent="0.35">
      <c r="A34" s="106"/>
      <c r="B34" s="463" t="s">
        <v>166</v>
      </c>
      <c r="C34" s="452"/>
      <c r="D34" s="438"/>
      <c r="E34" s="444"/>
      <c r="F34" s="444"/>
      <c r="G34" s="444"/>
      <c r="H34" s="444"/>
      <c r="I34" s="444"/>
      <c r="J34" s="444"/>
      <c r="K34" s="444"/>
      <c r="L34" s="444"/>
      <c r="M34" s="444"/>
      <c r="N34" s="444"/>
      <c r="O34" s="444"/>
      <c r="P34" s="474"/>
      <c r="Q34" s="479">
        <f t="shared" si="6"/>
        <v>0</v>
      </c>
      <c r="R34" s="464"/>
      <c r="S34" s="107"/>
      <c r="T34" s="107"/>
      <c r="U34" s="107"/>
      <c r="V34" s="107"/>
      <c r="W34" s="107"/>
      <c r="X34" s="107"/>
      <c r="Y34" s="107"/>
      <c r="Z34" s="107"/>
      <c r="AA34" s="107"/>
      <c r="AB34" s="107"/>
      <c r="AC34" s="107"/>
    </row>
    <row r="35" spans="1:29" s="108" customFormat="1" ht="14.4" customHeight="1" outlineLevel="1" thickBot="1" x14ac:dyDescent="0.35">
      <c r="A35" s="106"/>
      <c r="B35" s="463" t="s">
        <v>166</v>
      </c>
      <c r="C35" s="452"/>
      <c r="D35" s="438"/>
      <c r="E35" s="444"/>
      <c r="F35" s="444"/>
      <c r="G35" s="444"/>
      <c r="H35" s="444"/>
      <c r="I35" s="444"/>
      <c r="J35" s="444"/>
      <c r="K35" s="444"/>
      <c r="L35" s="444"/>
      <c r="M35" s="444"/>
      <c r="N35" s="444"/>
      <c r="O35" s="444"/>
      <c r="P35" s="474"/>
      <c r="Q35" s="479">
        <f t="shared" si="6"/>
        <v>0</v>
      </c>
      <c r="R35" s="464"/>
      <c r="S35" s="107"/>
      <c r="T35" s="107"/>
      <c r="U35" s="107"/>
      <c r="V35" s="107"/>
      <c r="W35" s="107"/>
      <c r="X35" s="107"/>
      <c r="Y35" s="107"/>
      <c r="Z35" s="107"/>
      <c r="AA35" s="107"/>
      <c r="AB35" s="107"/>
      <c r="AC35" s="107"/>
    </row>
    <row r="36" spans="1:29" s="108" customFormat="1" ht="14.4" customHeight="1" outlineLevel="1" thickBot="1" x14ac:dyDescent="0.35">
      <c r="A36" s="106"/>
      <c r="B36" s="463" t="s">
        <v>166</v>
      </c>
      <c r="C36" s="452"/>
      <c r="D36" s="438"/>
      <c r="E36" s="444"/>
      <c r="F36" s="444"/>
      <c r="G36" s="444"/>
      <c r="H36" s="444"/>
      <c r="I36" s="444"/>
      <c r="J36" s="444"/>
      <c r="K36" s="444"/>
      <c r="L36" s="444"/>
      <c r="M36" s="444"/>
      <c r="N36" s="444"/>
      <c r="O36" s="444"/>
      <c r="P36" s="474"/>
      <c r="Q36" s="479">
        <f t="shared" si="6"/>
        <v>0</v>
      </c>
      <c r="R36" s="464"/>
      <c r="S36" s="107"/>
      <c r="T36" s="107"/>
      <c r="U36" s="107"/>
      <c r="V36" s="107"/>
      <c r="W36" s="107"/>
      <c r="X36" s="107"/>
      <c r="Y36" s="107"/>
      <c r="Z36" s="107"/>
      <c r="AA36" s="107"/>
      <c r="AB36" s="107"/>
      <c r="AC36" s="107"/>
    </row>
    <row r="37" spans="1:29" s="108" customFormat="1" ht="14.4" customHeight="1" outlineLevel="1" thickBot="1" x14ac:dyDescent="0.35">
      <c r="A37" s="106"/>
      <c r="B37" s="463" t="s">
        <v>166</v>
      </c>
      <c r="C37" s="452"/>
      <c r="D37" s="438"/>
      <c r="E37" s="444"/>
      <c r="F37" s="444"/>
      <c r="G37" s="444"/>
      <c r="H37" s="444"/>
      <c r="I37" s="444"/>
      <c r="J37" s="444"/>
      <c r="K37" s="444"/>
      <c r="L37" s="444"/>
      <c r="M37" s="444"/>
      <c r="N37" s="444"/>
      <c r="O37" s="444"/>
      <c r="P37" s="474"/>
      <c r="Q37" s="479">
        <f t="shared" si="6"/>
        <v>0</v>
      </c>
      <c r="R37" s="464"/>
      <c r="S37" s="107"/>
      <c r="T37" s="107"/>
      <c r="U37" s="107"/>
      <c r="V37" s="107"/>
      <c r="W37" s="107"/>
      <c r="X37" s="107"/>
      <c r="Y37" s="107"/>
      <c r="Z37" s="107"/>
      <c r="AA37" s="107"/>
      <c r="AB37" s="107"/>
      <c r="AC37" s="107"/>
    </row>
    <row r="38" spans="1:29" s="108" customFormat="1" ht="14.4" customHeight="1" thickBot="1" x14ac:dyDescent="0.35">
      <c r="A38" s="106"/>
      <c r="B38" s="468" t="s">
        <v>166</v>
      </c>
      <c r="C38" s="456" t="s">
        <v>439</v>
      </c>
      <c r="D38" s="449">
        <v>325</v>
      </c>
      <c r="E38" s="448">
        <f>$D$38</f>
        <v>325</v>
      </c>
      <c r="F38" s="448">
        <f t="shared" ref="F38:P38" si="16">$D$38</f>
        <v>325</v>
      </c>
      <c r="G38" s="448">
        <f t="shared" si="16"/>
        <v>325</v>
      </c>
      <c r="H38" s="448">
        <f t="shared" si="16"/>
        <v>325</v>
      </c>
      <c r="I38" s="448">
        <f t="shared" si="16"/>
        <v>325</v>
      </c>
      <c r="J38" s="448">
        <f t="shared" si="16"/>
        <v>325</v>
      </c>
      <c r="K38" s="448">
        <f t="shared" si="16"/>
        <v>325</v>
      </c>
      <c r="L38" s="448">
        <f t="shared" si="16"/>
        <v>325</v>
      </c>
      <c r="M38" s="448">
        <f t="shared" si="16"/>
        <v>325</v>
      </c>
      <c r="N38" s="448">
        <f t="shared" si="16"/>
        <v>325</v>
      </c>
      <c r="O38" s="448">
        <f t="shared" si="16"/>
        <v>325</v>
      </c>
      <c r="P38" s="477">
        <f t="shared" si="16"/>
        <v>325</v>
      </c>
      <c r="Q38" s="479">
        <f t="shared" ref="Q38" si="17">+SUM(E38:P38)</f>
        <v>3900</v>
      </c>
      <c r="R38" s="464"/>
      <c r="S38" s="107"/>
      <c r="T38" s="107"/>
      <c r="U38" s="107"/>
      <c r="V38" s="107"/>
      <c r="W38" s="107"/>
      <c r="X38" s="107"/>
      <c r="Y38" s="107"/>
      <c r="Z38" s="107"/>
      <c r="AA38" s="107"/>
      <c r="AB38" s="107"/>
      <c r="AC38" s="107"/>
    </row>
    <row r="39" spans="1:29" ht="14.4" thickBot="1" x14ac:dyDescent="0.35">
      <c r="B39" s="469"/>
      <c r="C39" s="470"/>
      <c r="D39" s="471"/>
      <c r="E39" s="472">
        <f>SUM(E6:E38)</f>
        <v>7886</v>
      </c>
      <c r="F39" s="472">
        <f t="shared" ref="F39:P39" si="18">SUM(F6:F38)</f>
        <v>7486</v>
      </c>
      <c r="G39" s="472">
        <f t="shared" si="18"/>
        <v>7836</v>
      </c>
      <c r="H39" s="472">
        <f t="shared" si="18"/>
        <v>7486</v>
      </c>
      <c r="I39" s="472">
        <f t="shared" si="18"/>
        <v>7486</v>
      </c>
      <c r="J39" s="472">
        <f t="shared" si="18"/>
        <v>7836</v>
      </c>
      <c r="K39" s="472">
        <f t="shared" si="18"/>
        <v>7486</v>
      </c>
      <c r="L39" s="472">
        <f t="shared" si="18"/>
        <v>7486</v>
      </c>
      <c r="M39" s="472">
        <f t="shared" si="18"/>
        <v>7836</v>
      </c>
      <c r="N39" s="472">
        <f t="shared" si="18"/>
        <v>7486</v>
      </c>
      <c r="O39" s="472">
        <f t="shared" si="18"/>
        <v>7486</v>
      </c>
      <c r="P39" s="478">
        <f t="shared" si="18"/>
        <v>7836</v>
      </c>
      <c r="Q39" s="480">
        <f>SUM(Q6:Q38)</f>
        <v>91632</v>
      </c>
      <c r="R39" s="473"/>
    </row>
    <row r="40" spans="1:29" x14ac:dyDescent="0.3">
      <c r="C40" s="112"/>
      <c r="D40" s="113"/>
      <c r="E40" s="114"/>
      <c r="F40" s="114"/>
      <c r="G40" s="114"/>
      <c r="H40" s="114"/>
      <c r="I40" s="114"/>
      <c r="J40" s="114"/>
      <c r="K40" s="114"/>
      <c r="L40" s="114"/>
      <c r="M40" s="114"/>
      <c r="N40" s="114"/>
      <c r="O40" s="114"/>
      <c r="P40" s="114"/>
      <c r="Q40" s="114"/>
    </row>
    <row r="41" spans="1:29" s="3" customFormat="1" x14ac:dyDescent="0.3">
      <c r="A41" s="97"/>
      <c r="B41" s="97"/>
      <c r="C41" s="115"/>
      <c r="D41" s="116"/>
      <c r="E41" s="116"/>
      <c r="F41" s="116"/>
      <c r="G41" s="116"/>
      <c r="H41" s="116"/>
      <c r="I41" s="116"/>
      <c r="J41" s="116"/>
      <c r="K41" s="116"/>
      <c r="L41" s="116"/>
      <c r="M41" s="116"/>
      <c r="N41" s="116"/>
      <c r="O41" s="116"/>
      <c r="Q41" s="52" t="e">
        <f>+Q39/B3</f>
        <v>#DIV/0!</v>
      </c>
    </row>
    <row r="42" spans="1:29" s="101" customFormat="1" x14ac:dyDescent="0.3">
      <c r="A42" s="97"/>
      <c r="B42" s="97"/>
      <c r="C42" s="115"/>
      <c r="D42" s="116"/>
      <c r="E42" s="116"/>
      <c r="F42" s="116"/>
      <c r="G42" s="116"/>
      <c r="H42" s="116"/>
      <c r="I42" s="116"/>
      <c r="J42" s="116"/>
      <c r="K42" s="116"/>
      <c r="L42" s="116"/>
      <c r="M42" s="116"/>
      <c r="N42" s="116"/>
      <c r="O42" s="116"/>
      <c r="P42" s="116"/>
      <c r="Q42" s="53" t="s">
        <v>213</v>
      </c>
    </row>
    <row r="43" spans="1:29" s="101" customFormat="1" x14ac:dyDescent="0.3">
      <c r="A43" s="97"/>
      <c r="B43" s="97"/>
      <c r="C43" s="117"/>
      <c r="D43" s="116"/>
      <c r="E43" s="116"/>
      <c r="F43" s="116"/>
      <c r="G43" s="116"/>
      <c r="H43" s="116"/>
      <c r="I43" s="116"/>
      <c r="J43" s="116"/>
      <c r="K43" s="116"/>
      <c r="L43" s="116"/>
      <c r="M43" s="116"/>
      <c r="N43" s="116"/>
      <c r="O43" s="116"/>
      <c r="P43" s="116"/>
      <c r="Q43" s="116"/>
    </row>
    <row r="44" spans="1:29" s="101" customFormat="1" x14ac:dyDescent="0.3">
      <c r="A44" s="97"/>
      <c r="B44" s="97"/>
      <c r="C44" s="115"/>
      <c r="D44" s="116"/>
      <c r="E44" s="116"/>
      <c r="F44" s="116"/>
      <c r="G44" s="116"/>
      <c r="H44" s="116"/>
      <c r="I44" s="116"/>
      <c r="J44" s="116"/>
      <c r="K44" s="116"/>
      <c r="L44" s="116"/>
      <c r="M44" s="116"/>
      <c r="N44" s="116"/>
      <c r="O44" s="116"/>
      <c r="P44" s="116"/>
      <c r="Q44" s="116"/>
    </row>
    <row r="45" spans="1:29" s="101" customFormat="1" x14ac:dyDescent="0.3">
      <c r="A45" s="97"/>
      <c r="B45" s="97"/>
      <c r="C45" s="115"/>
      <c r="D45" s="116"/>
      <c r="E45" s="116"/>
      <c r="F45" s="116"/>
      <c r="G45" s="116"/>
      <c r="H45" s="116"/>
      <c r="I45" s="116"/>
      <c r="J45" s="116"/>
      <c r="K45" s="116"/>
      <c r="L45" s="116"/>
      <c r="M45" s="116"/>
      <c r="N45" s="116"/>
      <c r="O45" s="116"/>
      <c r="P45" s="116"/>
      <c r="Q45" s="116"/>
    </row>
    <row r="46" spans="1:29" s="101" customFormat="1" x14ac:dyDescent="0.3">
      <c r="A46" s="97"/>
      <c r="B46" s="97"/>
      <c r="C46" s="115"/>
      <c r="D46" s="116"/>
      <c r="E46" s="116"/>
      <c r="F46" s="116"/>
      <c r="G46" s="116"/>
      <c r="H46" s="116"/>
      <c r="I46" s="116"/>
      <c r="J46" s="116"/>
      <c r="K46" s="116"/>
      <c r="L46" s="116"/>
      <c r="M46" s="116"/>
      <c r="N46" s="116"/>
      <c r="O46" s="116"/>
      <c r="P46" s="116"/>
      <c r="Q46" s="116"/>
    </row>
    <row r="47" spans="1:29" s="101" customFormat="1" x14ac:dyDescent="0.3">
      <c r="A47" s="97"/>
      <c r="B47" s="97"/>
      <c r="C47" s="115"/>
      <c r="D47" s="116"/>
      <c r="E47" s="116"/>
      <c r="F47" s="116"/>
      <c r="G47" s="116"/>
      <c r="H47" s="116"/>
      <c r="I47" s="116"/>
      <c r="J47" s="116"/>
      <c r="K47" s="116"/>
      <c r="L47" s="116"/>
      <c r="M47" s="116"/>
      <c r="N47" s="116"/>
      <c r="O47" s="116"/>
      <c r="P47" s="116"/>
      <c r="Q47" s="116"/>
    </row>
    <row r="48" spans="1:29" s="101" customFormat="1" x14ac:dyDescent="0.3">
      <c r="A48" s="97"/>
      <c r="B48" s="97"/>
      <c r="C48" s="115"/>
      <c r="D48" s="116"/>
      <c r="E48" s="116"/>
      <c r="F48" s="116"/>
      <c r="G48" s="116"/>
      <c r="H48" s="116"/>
      <c r="I48" s="116"/>
      <c r="J48" s="116"/>
      <c r="K48" s="116"/>
      <c r="L48" s="116"/>
      <c r="M48" s="116"/>
      <c r="N48" s="116"/>
      <c r="O48" s="116"/>
      <c r="P48" s="116"/>
      <c r="Q48" s="116"/>
    </row>
    <row r="49" spans="1:17" s="101" customFormat="1" x14ac:dyDescent="0.3">
      <c r="A49" s="97"/>
      <c r="B49" s="97"/>
      <c r="C49" s="115"/>
      <c r="D49" s="116"/>
      <c r="E49" s="116"/>
      <c r="F49" s="116"/>
      <c r="G49" s="116"/>
      <c r="H49" s="116"/>
      <c r="I49" s="116"/>
      <c r="J49" s="116"/>
      <c r="K49" s="116"/>
      <c r="L49" s="116"/>
      <c r="M49" s="116"/>
      <c r="N49" s="116"/>
      <c r="O49" s="116"/>
      <c r="P49" s="116"/>
      <c r="Q49" s="116"/>
    </row>
    <row r="50" spans="1:17" s="101" customFormat="1" x14ac:dyDescent="0.3">
      <c r="A50" s="97"/>
      <c r="B50" s="97"/>
      <c r="C50" s="115"/>
      <c r="D50" s="116"/>
      <c r="E50" s="116"/>
      <c r="F50" s="116"/>
      <c r="G50" s="116"/>
      <c r="H50" s="116"/>
      <c r="I50" s="116"/>
      <c r="J50" s="116"/>
      <c r="K50" s="116"/>
      <c r="L50" s="116"/>
      <c r="M50" s="116"/>
      <c r="N50" s="116"/>
      <c r="O50" s="116"/>
      <c r="P50" s="116"/>
      <c r="Q50" s="116"/>
    </row>
    <row r="51" spans="1:17" s="101" customFormat="1" x14ac:dyDescent="0.3">
      <c r="A51" s="97"/>
      <c r="B51" s="97"/>
      <c r="C51" s="115"/>
      <c r="D51" s="116"/>
      <c r="E51" s="116"/>
      <c r="F51" s="116"/>
      <c r="G51" s="116"/>
      <c r="H51" s="116"/>
      <c r="I51" s="116"/>
      <c r="J51" s="116"/>
      <c r="K51" s="116"/>
      <c r="L51" s="116"/>
      <c r="M51" s="116"/>
      <c r="N51" s="116"/>
      <c r="O51" s="116"/>
      <c r="P51" s="116"/>
      <c r="Q51" s="116"/>
    </row>
    <row r="52" spans="1:17" s="101" customFormat="1" x14ac:dyDescent="0.3">
      <c r="A52" s="97"/>
      <c r="B52" s="97"/>
      <c r="C52" s="115"/>
      <c r="D52" s="116"/>
      <c r="E52" s="116"/>
      <c r="F52" s="116"/>
      <c r="G52" s="116"/>
      <c r="H52" s="116"/>
      <c r="I52" s="116"/>
      <c r="J52" s="116"/>
      <c r="K52" s="116"/>
      <c r="L52" s="116"/>
      <c r="M52" s="116"/>
      <c r="N52" s="116"/>
      <c r="O52" s="116"/>
      <c r="P52" s="116"/>
      <c r="Q52" s="116"/>
    </row>
    <row r="53" spans="1:17" s="101" customFormat="1" x14ac:dyDescent="0.3">
      <c r="A53" s="97"/>
      <c r="B53" s="97"/>
      <c r="C53" s="115"/>
      <c r="D53" s="116"/>
      <c r="E53" s="116"/>
      <c r="F53" s="116"/>
      <c r="G53" s="116"/>
      <c r="H53" s="116"/>
      <c r="I53" s="116"/>
      <c r="J53" s="116"/>
      <c r="K53" s="116"/>
      <c r="L53" s="116"/>
      <c r="M53" s="116"/>
      <c r="N53" s="116"/>
      <c r="O53" s="116"/>
      <c r="P53" s="116"/>
      <c r="Q53" s="116"/>
    </row>
    <row r="54" spans="1:17" s="101" customFormat="1" x14ac:dyDescent="0.3">
      <c r="A54" s="97"/>
      <c r="B54" s="97"/>
      <c r="C54" s="115"/>
      <c r="D54" s="116"/>
      <c r="E54" s="116"/>
      <c r="F54" s="116"/>
      <c r="G54" s="116"/>
      <c r="H54" s="116"/>
      <c r="I54" s="116"/>
      <c r="J54" s="116"/>
      <c r="K54" s="116"/>
      <c r="L54" s="116"/>
      <c r="M54" s="116"/>
      <c r="N54" s="116"/>
      <c r="O54" s="116"/>
      <c r="P54" s="116"/>
      <c r="Q54" s="116"/>
    </row>
    <row r="55" spans="1:17" s="101" customFormat="1" x14ac:dyDescent="0.3">
      <c r="A55" s="97"/>
      <c r="B55" s="97"/>
      <c r="C55" s="115"/>
      <c r="D55" s="116"/>
      <c r="E55" s="116"/>
      <c r="F55" s="116"/>
      <c r="G55" s="116"/>
      <c r="H55" s="116"/>
      <c r="I55" s="116"/>
      <c r="J55" s="116"/>
      <c r="K55" s="116"/>
      <c r="L55" s="116"/>
      <c r="M55" s="116"/>
      <c r="N55" s="116"/>
      <c r="O55" s="116"/>
      <c r="P55" s="116"/>
      <c r="Q55" s="116"/>
    </row>
    <row r="56" spans="1:17" s="101" customFormat="1" x14ac:dyDescent="0.3">
      <c r="A56" s="97"/>
      <c r="B56" s="97"/>
      <c r="C56" s="115"/>
      <c r="D56" s="116"/>
      <c r="E56" s="116"/>
      <c r="F56" s="116"/>
      <c r="G56" s="116"/>
      <c r="H56" s="116"/>
      <c r="I56" s="116"/>
      <c r="J56" s="116"/>
      <c r="K56" s="116"/>
      <c r="L56" s="116"/>
      <c r="M56" s="116"/>
      <c r="N56" s="116"/>
      <c r="O56" s="116"/>
      <c r="P56" s="116"/>
      <c r="Q56" s="116"/>
    </row>
    <row r="57" spans="1:17" s="101" customFormat="1" x14ac:dyDescent="0.3">
      <c r="A57" s="97"/>
      <c r="B57" s="97"/>
      <c r="C57" s="115"/>
      <c r="D57" s="116"/>
      <c r="E57" s="116"/>
      <c r="F57" s="116"/>
      <c r="G57" s="116"/>
      <c r="H57" s="116"/>
      <c r="I57" s="116"/>
      <c r="J57" s="116"/>
      <c r="K57" s="116"/>
      <c r="L57" s="116"/>
      <c r="M57" s="116"/>
      <c r="N57" s="116"/>
      <c r="O57" s="116"/>
      <c r="P57" s="116"/>
      <c r="Q57" s="116"/>
    </row>
    <row r="58" spans="1:17" s="101" customFormat="1" x14ac:dyDescent="0.3">
      <c r="A58" s="97"/>
      <c r="B58" s="97"/>
      <c r="C58" s="115"/>
      <c r="D58" s="116"/>
      <c r="E58" s="116"/>
      <c r="F58" s="116"/>
      <c r="G58" s="116"/>
      <c r="H58" s="116"/>
      <c r="I58" s="116"/>
      <c r="J58" s="116"/>
      <c r="K58" s="116"/>
      <c r="L58" s="116"/>
      <c r="M58" s="116"/>
      <c r="N58" s="116"/>
      <c r="O58" s="116"/>
      <c r="P58" s="116"/>
      <c r="Q58" s="116"/>
    </row>
    <row r="59" spans="1:17" s="101" customFormat="1" x14ac:dyDescent="0.3">
      <c r="A59" s="97"/>
      <c r="B59" s="97"/>
      <c r="C59" s="115"/>
      <c r="D59" s="116"/>
      <c r="E59" s="116"/>
      <c r="F59" s="116"/>
      <c r="G59" s="116"/>
      <c r="H59" s="116"/>
      <c r="I59" s="116"/>
      <c r="J59" s="116"/>
      <c r="K59" s="116"/>
      <c r="L59" s="116"/>
      <c r="M59" s="116"/>
      <c r="N59" s="116"/>
      <c r="O59" s="116"/>
      <c r="P59" s="116"/>
      <c r="Q59" s="116"/>
    </row>
    <row r="60" spans="1:17" s="101" customFormat="1" x14ac:dyDescent="0.3">
      <c r="A60" s="97"/>
      <c r="B60" s="97"/>
      <c r="C60" s="115"/>
      <c r="D60" s="116"/>
      <c r="E60" s="116"/>
      <c r="F60" s="116"/>
      <c r="G60" s="116"/>
      <c r="H60" s="116"/>
      <c r="I60" s="116"/>
      <c r="J60" s="116"/>
      <c r="K60" s="116"/>
      <c r="L60" s="116"/>
      <c r="M60" s="116"/>
      <c r="N60" s="116"/>
      <c r="O60" s="116"/>
      <c r="P60" s="116"/>
      <c r="Q60" s="116"/>
    </row>
    <row r="61" spans="1:17" s="101" customFormat="1" x14ac:dyDescent="0.3">
      <c r="A61" s="97"/>
      <c r="B61" s="97"/>
      <c r="C61" s="115"/>
      <c r="D61" s="116"/>
      <c r="E61" s="116"/>
      <c r="F61" s="116"/>
      <c r="G61" s="116"/>
      <c r="H61" s="116"/>
      <c r="I61" s="116"/>
      <c r="J61" s="116"/>
      <c r="K61" s="116"/>
      <c r="L61" s="116"/>
      <c r="M61" s="116"/>
      <c r="N61" s="116"/>
      <c r="O61" s="116"/>
      <c r="P61" s="116"/>
      <c r="Q61" s="116"/>
    </row>
    <row r="62" spans="1:17" s="101" customFormat="1" x14ac:dyDescent="0.3">
      <c r="A62" s="97"/>
      <c r="B62" s="97"/>
      <c r="C62" s="115"/>
      <c r="D62" s="116"/>
      <c r="E62" s="116"/>
      <c r="F62" s="116"/>
      <c r="G62" s="116"/>
      <c r="H62" s="116"/>
      <c r="I62" s="116"/>
      <c r="J62" s="116"/>
      <c r="K62" s="116"/>
      <c r="L62" s="116"/>
      <c r="M62" s="116"/>
      <c r="N62" s="116"/>
      <c r="O62" s="116"/>
      <c r="P62" s="116"/>
      <c r="Q62" s="116"/>
    </row>
    <row r="63" spans="1:17" s="101" customFormat="1" x14ac:dyDescent="0.3">
      <c r="A63" s="97"/>
      <c r="B63" s="97"/>
      <c r="C63" s="115"/>
      <c r="D63" s="116"/>
      <c r="E63" s="116"/>
      <c r="F63" s="116"/>
      <c r="G63" s="116"/>
      <c r="H63" s="116"/>
      <c r="I63" s="116"/>
      <c r="J63" s="116"/>
      <c r="K63" s="116"/>
      <c r="L63" s="116"/>
      <c r="M63" s="116"/>
      <c r="N63" s="116"/>
      <c r="O63" s="116"/>
      <c r="P63" s="116"/>
      <c r="Q63" s="116"/>
    </row>
    <row r="64" spans="1:17" s="101" customFormat="1" x14ac:dyDescent="0.3">
      <c r="A64" s="97"/>
      <c r="B64" s="97"/>
      <c r="C64" s="115"/>
      <c r="D64" s="116"/>
      <c r="E64" s="116"/>
      <c r="F64" s="116"/>
      <c r="G64" s="116"/>
      <c r="H64" s="116"/>
      <c r="I64" s="116"/>
      <c r="J64" s="116"/>
      <c r="K64" s="116"/>
      <c r="L64" s="116"/>
      <c r="M64" s="116"/>
      <c r="N64" s="116"/>
      <c r="O64" s="116"/>
      <c r="P64" s="116"/>
      <c r="Q64" s="116"/>
    </row>
    <row r="65" spans="1:17" s="101" customFormat="1" x14ac:dyDescent="0.3">
      <c r="A65" s="97"/>
      <c r="B65" s="97"/>
      <c r="C65" s="115"/>
      <c r="D65" s="116"/>
      <c r="E65" s="116"/>
      <c r="F65" s="116"/>
      <c r="G65" s="116"/>
      <c r="H65" s="116"/>
      <c r="I65" s="116"/>
      <c r="J65" s="116"/>
      <c r="K65" s="116"/>
      <c r="L65" s="116"/>
      <c r="M65" s="116"/>
      <c r="N65" s="116"/>
      <c r="O65" s="116"/>
      <c r="P65" s="116"/>
      <c r="Q65" s="116"/>
    </row>
    <row r="66" spans="1:17" s="101" customFormat="1" x14ac:dyDescent="0.3">
      <c r="A66" s="97"/>
      <c r="B66" s="97"/>
      <c r="C66" s="115"/>
      <c r="D66" s="116"/>
      <c r="E66" s="116"/>
      <c r="F66" s="116"/>
      <c r="G66" s="116"/>
      <c r="H66" s="116"/>
      <c r="I66" s="116"/>
      <c r="J66" s="116"/>
      <c r="K66" s="116"/>
      <c r="L66" s="116"/>
      <c r="M66" s="116"/>
      <c r="N66" s="116"/>
      <c r="O66" s="116"/>
      <c r="P66" s="116"/>
      <c r="Q66" s="116"/>
    </row>
    <row r="67" spans="1:17" s="101" customFormat="1" x14ac:dyDescent="0.3">
      <c r="A67" s="97"/>
      <c r="B67" s="97"/>
      <c r="C67" s="115"/>
      <c r="D67" s="116"/>
      <c r="E67" s="116"/>
      <c r="F67" s="116"/>
      <c r="G67" s="116"/>
      <c r="H67" s="116"/>
      <c r="I67" s="116"/>
      <c r="J67" s="116"/>
      <c r="K67" s="116"/>
      <c r="L67" s="116"/>
      <c r="M67" s="116"/>
      <c r="N67" s="116"/>
      <c r="O67" s="116"/>
      <c r="P67" s="116"/>
      <c r="Q67" s="116"/>
    </row>
    <row r="68" spans="1:17" s="101" customFormat="1" x14ac:dyDescent="0.3">
      <c r="A68" s="97"/>
      <c r="B68" s="97"/>
      <c r="C68" s="115"/>
      <c r="D68" s="116"/>
      <c r="E68" s="116"/>
      <c r="F68" s="116"/>
      <c r="G68" s="116"/>
      <c r="H68" s="116"/>
      <c r="I68" s="116"/>
      <c r="J68" s="116"/>
      <c r="K68" s="116"/>
      <c r="L68" s="116"/>
      <c r="M68" s="116"/>
      <c r="N68" s="116"/>
      <c r="O68" s="116"/>
      <c r="P68" s="116"/>
      <c r="Q68" s="116"/>
    </row>
    <row r="69" spans="1:17" s="101" customFormat="1" x14ac:dyDescent="0.3">
      <c r="A69" s="97"/>
      <c r="B69" s="97"/>
      <c r="C69" s="115"/>
      <c r="D69" s="116"/>
      <c r="E69" s="116"/>
      <c r="F69" s="116"/>
      <c r="G69" s="116"/>
      <c r="H69" s="116"/>
      <c r="I69" s="116"/>
      <c r="J69" s="116"/>
      <c r="K69" s="116"/>
      <c r="L69" s="116"/>
      <c r="M69" s="116"/>
      <c r="N69" s="116"/>
      <c r="O69" s="116"/>
      <c r="P69" s="116"/>
      <c r="Q69" s="116"/>
    </row>
    <row r="70" spans="1:17" s="101" customFormat="1" x14ac:dyDescent="0.3">
      <c r="A70" s="97"/>
      <c r="B70" s="97"/>
      <c r="C70" s="115"/>
      <c r="D70" s="116"/>
      <c r="E70" s="116"/>
      <c r="F70" s="116"/>
      <c r="G70" s="116"/>
      <c r="H70" s="116"/>
      <c r="I70" s="116"/>
      <c r="J70" s="116"/>
      <c r="K70" s="116"/>
      <c r="L70" s="116"/>
      <c r="M70" s="116"/>
      <c r="N70" s="116"/>
      <c r="O70" s="116"/>
      <c r="P70" s="116"/>
      <c r="Q70" s="116"/>
    </row>
    <row r="71" spans="1:17" s="101" customFormat="1" x14ac:dyDescent="0.3">
      <c r="A71" s="97"/>
      <c r="B71" s="97"/>
      <c r="C71" s="115"/>
      <c r="D71" s="116"/>
      <c r="E71" s="116"/>
      <c r="F71" s="116"/>
      <c r="G71" s="116"/>
      <c r="H71" s="116"/>
      <c r="I71" s="116"/>
      <c r="J71" s="116"/>
      <c r="K71" s="116"/>
      <c r="L71" s="116"/>
      <c r="M71" s="116"/>
      <c r="N71" s="116"/>
      <c r="O71" s="116"/>
      <c r="P71" s="116"/>
      <c r="Q71" s="116"/>
    </row>
    <row r="72" spans="1:17" s="101" customFormat="1" x14ac:dyDescent="0.3">
      <c r="A72" s="97"/>
      <c r="B72" s="97"/>
      <c r="C72" s="115"/>
      <c r="D72" s="116"/>
      <c r="E72" s="116"/>
      <c r="F72" s="116"/>
      <c r="G72" s="116"/>
      <c r="H72" s="116"/>
      <c r="I72" s="116"/>
      <c r="J72" s="116"/>
      <c r="K72" s="116"/>
      <c r="L72" s="116"/>
      <c r="M72" s="116"/>
      <c r="N72" s="116"/>
      <c r="O72" s="116"/>
      <c r="P72" s="116"/>
      <c r="Q72" s="116"/>
    </row>
    <row r="73" spans="1:17" s="101" customFormat="1" x14ac:dyDescent="0.3">
      <c r="A73" s="97"/>
      <c r="B73" s="97"/>
      <c r="C73" s="115"/>
      <c r="D73" s="116"/>
      <c r="E73" s="116"/>
      <c r="F73" s="116"/>
      <c r="G73" s="116"/>
      <c r="H73" s="116"/>
      <c r="I73" s="116"/>
      <c r="J73" s="116"/>
      <c r="K73" s="116"/>
      <c r="L73" s="116"/>
      <c r="M73" s="116"/>
      <c r="N73" s="116"/>
      <c r="O73" s="116"/>
      <c r="P73" s="116"/>
      <c r="Q73" s="116"/>
    </row>
    <row r="74" spans="1:17" s="101" customFormat="1" x14ac:dyDescent="0.3">
      <c r="A74" s="97"/>
      <c r="B74" s="97"/>
      <c r="C74" s="115"/>
      <c r="D74" s="116"/>
      <c r="E74" s="116"/>
      <c r="F74" s="116"/>
      <c r="G74" s="116"/>
      <c r="H74" s="116"/>
      <c r="I74" s="116"/>
      <c r="J74" s="116"/>
      <c r="K74" s="116"/>
      <c r="L74" s="116"/>
      <c r="M74" s="116"/>
      <c r="N74" s="116"/>
      <c r="O74" s="116"/>
      <c r="P74" s="116"/>
      <c r="Q74" s="116"/>
    </row>
    <row r="75" spans="1:17" s="101" customFormat="1" x14ac:dyDescent="0.3">
      <c r="A75" s="97"/>
      <c r="B75" s="97"/>
      <c r="C75" s="115"/>
      <c r="D75" s="116"/>
      <c r="E75" s="116"/>
      <c r="F75" s="116"/>
      <c r="G75" s="116"/>
      <c r="H75" s="116"/>
      <c r="I75" s="116"/>
      <c r="J75" s="116"/>
      <c r="K75" s="116"/>
      <c r="L75" s="116"/>
      <c r="M75" s="116"/>
      <c r="N75" s="116"/>
      <c r="O75" s="116"/>
      <c r="P75" s="116"/>
      <c r="Q75" s="116"/>
    </row>
    <row r="76" spans="1:17" s="101" customFormat="1" x14ac:dyDescent="0.3">
      <c r="A76" s="97"/>
      <c r="B76" s="97"/>
      <c r="C76" s="115"/>
      <c r="D76" s="116"/>
      <c r="E76" s="116"/>
      <c r="F76" s="116"/>
      <c r="G76" s="116"/>
      <c r="H76" s="116"/>
      <c r="I76" s="116"/>
      <c r="J76" s="116"/>
      <c r="K76" s="116"/>
      <c r="L76" s="116"/>
      <c r="M76" s="116"/>
      <c r="N76" s="116"/>
      <c r="O76" s="116"/>
      <c r="P76" s="116"/>
      <c r="Q76" s="116"/>
    </row>
    <row r="77" spans="1:17" s="101" customFormat="1" x14ac:dyDescent="0.3">
      <c r="A77" s="97"/>
      <c r="B77" s="97"/>
      <c r="C77" s="115"/>
      <c r="D77" s="116"/>
      <c r="E77" s="116"/>
      <c r="F77" s="116"/>
      <c r="G77" s="116"/>
      <c r="H77" s="116"/>
      <c r="I77" s="116"/>
      <c r="J77" s="116"/>
      <c r="K77" s="116"/>
      <c r="L77" s="116"/>
      <c r="M77" s="116"/>
      <c r="N77" s="116"/>
      <c r="O77" s="116"/>
      <c r="P77" s="116"/>
      <c r="Q77" s="116"/>
    </row>
    <row r="78" spans="1:17" s="101" customFormat="1" x14ac:dyDescent="0.3">
      <c r="A78" s="97"/>
      <c r="B78" s="97"/>
      <c r="C78" s="115"/>
      <c r="D78" s="116"/>
      <c r="E78" s="116"/>
      <c r="F78" s="116"/>
      <c r="G78" s="116"/>
      <c r="H78" s="116"/>
      <c r="I78" s="116"/>
      <c r="J78" s="116"/>
      <c r="K78" s="116"/>
      <c r="L78" s="116"/>
      <c r="M78" s="116"/>
      <c r="N78" s="116"/>
      <c r="O78" s="116"/>
      <c r="P78" s="116"/>
      <c r="Q78" s="116"/>
    </row>
    <row r="79" spans="1:17" s="101" customFormat="1" x14ac:dyDescent="0.3">
      <c r="A79" s="97"/>
      <c r="B79" s="97"/>
      <c r="C79" s="115"/>
      <c r="D79" s="116"/>
      <c r="E79" s="116"/>
      <c r="F79" s="116"/>
      <c r="G79" s="116"/>
      <c r="H79" s="116"/>
      <c r="I79" s="116"/>
      <c r="J79" s="116"/>
      <c r="K79" s="116"/>
      <c r="L79" s="116"/>
      <c r="M79" s="116"/>
      <c r="N79" s="116"/>
      <c r="O79" s="116"/>
      <c r="P79" s="116"/>
      <c r="Q79" s="116"/>
    </row>
    <row r="80" spans="1:17" s="101" customFormat="1" x14ac:dyDescent="0.3">
      <c r="A80" s="97"/>
      <c r="B80" s="97"/>
      <c r="C80" s="115"/>
      <c r="D80" s="116"/>
      <c r="E80" s="116"/>
      <c r="F80" s="116"/>
      <c r="G80" s="116"/>
      <c r="H80" s="116"/>
      <c r="I80" s="116"/>
      <c r="J80" s="116"/>
      <c r="K80" s="116"/>
      <c r="L80" s="116"/>
      <c r="M80" s="116"/>
      <c r="N80" s="116"/>
      <c r="O80" s="116"/>
      <c r="P80" s="116"/>
      <c r="Q80" s="116"/>
    </row>
    <row r="81" spans="1:17" s="101" customFormat="1" x14ac:dyDescent="0.3">
      <c r="A81" s="97"/>
      <c r="B81" s="97"/>
      <c r="C81" s="115"/>
      <c r="D81" s="116"/>
      <c r="E81" s="116"/>
      <c r="F81" s="116"/>
      <c r="G81" s="116"/>
      <c r="H81" s="116"/>
      <c r="I81" s="116"/>
      <c r="J81" s="116"/>
      <c r="K81" s="116"/>
      <c r="L81" s="116"/>
      <c r="M81" s="116"/>
      <c r="N81" s="116"/>
      <c r="O81" s="116"/>
      <c r="P81" s="116"/>
      <c r="Q81" s="116"/>
    </row>
    <row r="82" spans="1:17" s="101" customFormat="1" x14ac:dyDescent="0.3">
      <c r="A82" s="97"/>
      <c r="B82" s="97"/>
      <c r="C82" s="115"/>
      <c r="D82" s="116"/>
      <c r="E82" s="116"/>
      <c r="F82" s="116"/>
      <c r="G82" s="116"/>
      <c r="H82" s="116"/>
      <c r="I82" s="116"/>
      <c r="J82" s="116"/>
      <c r="K82" s="116"/>
      <c r="L82" s="116"/>
      <c r="M82" s="116"/>
      <c r="N82" s="116"/>
      <c r="O82" s="116"/>
      <c r="P82" s="116"/>
      <c r="Q82" s="116"/>
    </row>
    <row r="83" spans="1:17" s="101" customFormat="1" x14ac:dyDescent="0.3">
      <c r="A83" s="97"/>
      <c r="B83" s="97"/>
      <c r="C83" s="115"/>
      <c r="D83" s="116"/>
      <c r="E83" s="116"/>
      <c r="F83" s="116"/>
      <c r="G83" s="116"/>
      <c r="H83" s="116"/>
      <c r="I83" s="116"/>
      <c r="J83" s="116"/>
      <c r="K83" s="116"/>
      <c r="L83" s="116"/>
      <c r="M83" s="116"/>
      <c r="N83" s="116"/>
      <c r="O83" s="116"/>
      <c r="P83" s="116"/>
      <c r="Q83" s="116"/>
    </row>
    <row r="84" spans="1:17" s="101" customFormat="1" x14ac:dyDescent="0.3">
      <c r="A84" s="97"/>
      <c r="B84" s="97"/>
      <c r="C84" s="115"/>
      <c r="D84" s="116"/>
      <c r="E84" s="116"/>
      <c r="F84" s="116"/>
      <c r="G84" s="116"/>
      <c r="H84" s="116"/>
      <c r="I84" s="116"/>
      <c r="J84" s="116"/>
      <c r="K84" s="116"/>
      <c r="L84" s="116"/>
      <c r="M84" s="116"/>
      <c r="N84" s="116"/>
      <c r="O84" s="116"/>
      <c r="P84" s="116"/>
      <c r="Q84" s="116"/>
    </row>
  </sheetData>
  <dataConsolidate/>
  <mergeCells count="1">
    <mergeCell ref="D1:P1"/>
  </mergeCells>
  <phoneticPr fontId="4" type="noConversion"/>
  <dataValidations count="4">
    <dataValidation allowBlank="1" showInputMessage="1" showErrorMessage="1" prompt="Rate and Months labels are in this row, from cells C3 through O3, and Total label in cell Q3." sqref="A5:B5" xr:uid="{96449677-0F72-49C4-99AB-84AA71E8B109}"/>
    <dataValidation allowBlank="1" showInputMessage="1" showErrorMessage="1" prompt="Create Channel Marketing Budget in this worksheet. Title of this worksheet is in cell C1. Helpful instructions are in cells in this column. Arrow down to get started. " sqref="A1:B4" xr:uid="{2613A2FF-3305-4797-93E6-1695CFA98C9B}"/>
    <dataValidation allowBlank="1" showInputMessage="1" showErrorMessage="1" prompt="Anticipated Sales Total label is in cell at right. Enter Anticipated Sales for each month in cells D3 through O3. Total is auto calculated in cell Q3." sqref="A6" xr:uid="{96C64442-4353-4C38-A3AC-89BBD75114F1}"/>
    <dataValidation allowBlank="1" showInputMessage="1" showErrorMessage="1" prompt="Total Marketing Budget is auto calculated for each month in this row, from cells D71 through O71, and Annual Total in cell Q71. Sparkline is auto updated in cell S71." sqref="A39:B40" xr:uid="{C4665059-C61B-48A3-9120-AF5B73CF2AAD}"/>
  </dataValidations>
  <pageMargins left="0.7" right="0.7" top="0.75" bottom="0.75" header="0.3" footer="0.3"/>
  <ignoredErrors>
    <ignoredError sqref="H9:P9" formula="1"/>
  </ignoredErrors>
  <extLst>
    <ext xmlns:x14="http://schemas.microsoft.com/office/spreadsheetml/2009/9/main" uri="{CCE6A557-97BC-4b89-ADB6-D9C93CAAB3DF}">
      <x14:dataValidations xmlns:xm="http://schemas.microsoft.com/office/excel/2006/main" count="7">
        <x14:dataValidation type="list" allowBlank="1" showInputMessage="1" showErrorMessage="1" xr:uid="{1D35A729-32BD-4345-B587-ACAD3692F05D}">
          <x14:formula1>
            <xm:f>'Marketing List - Dropdowns'!$B$3:$B$4</xm:f>
          </x14:formula1>
          <xm:sqref>D20:D21 D25:D28 D15 D8:D12</xm:sqref>
        </x14:dataValidation>
        <x14:dataValidation type="list" allowBlank="1" showInputMessage="1" showErrorMessage="1" xr:uid="{1DC7F5E5-538E-4C88-A27E-E263196920E1}">
          <x14:formula1>
            <xm:f>'Marketing List - Dropdowns'!$F$5:$F$12</xm:f>
          </x14:formula1>
          <xm:sqref>D6</xm:sqref>
        </x14:dataValidation>
        <x14:dataValidation type="list" allowBlank="1" showInputMessage="1" showErrorMessage="1" xr:uid="{B99209E5-C25D-4E3C-B8C3-F0C09D5285D1}">
          <x14:formula1>
            <xm:f>'Marketing List - Dropdowns'!$K$4:$K$6</xm:f>
          </x14:formula1>
          <xm:sqref>D22</xm:sqref>
        </x14:dataValidation>
        <x14:dataValidation type="list" allowBlank="1" showInputMessage="1" showErrorMessage="1" xr:uid="{57028EF8-A215-4310-A125-F8E3C563983E}">
          <x14:formula1>
            <xm:f>'Marketing List - Dropdowns'!$N$4:$N$8</xm:f>
          </x14:formula1>
          <xm:sqref>D7</xm:sqref>
        </x14:dataValidation>
        <x14:dataValidation type="list" allowBlank="1" showInputMessage="1" showErrorMessage="1" xr:uid="{3F050A27-5D80-4F1F-B134-BB57B206F9AD}">
          <x14:formula1>
            <xm:f>'Marketing List - Dropdowns'!$F$19:$F$24</xm:f>
          </x14:formula1>
          <xm:sqref>D13:D16</xm:sqref>
        </x14:dataValidation>
        <x14:dataValidation type="list" allowBlank="1" showInputMessage="1" showErrorMessage="1" xr:uid="{D97BFAA4-3122-464E-9E2B-3F5D172B4A81}">
          <x14:formula1>
            <xm:f>'Marketing List - Dropdowns'!$F$31:$F$36</xm:f>
          </x14:formula1>
          <xm:sqref>D16</xm:sqref>
        </x14:dataValidation>
        <x14:dataValidation type="list" allowBlank="1" showInputMessage="1" showErrorMessage="1" xr:uid="{CACB8A95-2F4F-48D0-9969-DA156B7078C5}">
          <x14:formula1>
            <xm:f>'Lease-Up Proforma'!$C$65:$C$69</xm:f>
          </x14:formula1>
          <xm:sqref>B6:B38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CAE44-BD68-4552-846E-12CEEA7B226B}">
  <sheetPr>
    <tabColor theme="3" tint="0.249977111117893"/>
  </sheetPr>
  <dimension ref="B2:R106"/>
  <sheetViews>
    <sheetView workbookViewId="0">
      <selection activeCell="E12" sqref="E12"/>
    </sheetView>
  </sheetViews>
  <sheetFormatPr defaultColWidth="8.88671875" defaultRowHeight="13.8" outlineLevelRow="1" outlineLevelCol="1" x14ac:dyDescent="0.3"/>
  <cols>
    <col min="1" max="1" width="8.88671875" style="3"/>
    <col min="2" max="2" width="29.33203125" style="3" customWidth="1"/>
    <col min="3" max="3" width="30.33203125" style="3" customWidth="1"/>
    <col min="4" max="4" width="11.6640625" style="3" customWidth="1"/>
    <col min="5" max="16" width="11.6640625" style="3" customWidth="1" outlineLevel="1"/>
    <col min="17" max="17" width="18.6640625" style="3" customWidth="1"/>
    <col min="18" max="18" width="57.109375" style="3" customWidth="1"/>
    <col min="19" max="16384" width="8.88671875" style="3"/>
  </cols>
  <sheetData>
    <row r="2" spans="2:18" x14ac:dyDescent="0.3">
      <c r="B2" s="441" t="s">
        <v>258</v>
      </c>
    </row>
    <row r="3" spans="2:18" x14ac:dyDescent="0.3">
      <c r="B3" s="442">
        <f>'Rent Schedule'!E31</f>
        <v>0</v>
      </c>
    </row>
    <row r="5" spans="2:18" ht="14.4" thickBot="1" x14ac:dyDescent="0.35">
      <c r="B5" s="39" t="s">
        <v>296</v>
      </c>
      <c r="C5" s="39" t="s">
        <v>2</v>
      </c>
      <c r="D5" s="39" t="s">
        <v>451</v>
      </c>
      <c r="E5" s="495">
        <f>+'Absorption Schedule'!I25</f>
        <v>46204</v>
      </c>
      <c r="F5" s="495">
        <f>EOMONTH(E5,1 )</f>
        <v>46265</v>
      </c>
      <c r="G5" s="495">
        <f t="shared" ref="G5:P5" si="0">EOMONTH(F5,1 )</f>
        <v>46295</v>
      </c>
      <c r="H5" s="495">
        <f t="shared" si="0"/>
        <v>46326</v>
      </c>
      <c r="I5" s="495">
        <f t="shared" si="0"/>
        <v>46356</v>
      </c>
      <c r="J5" s="495">
        <f t="shared" si="0"/>
        <v>46387</v>
      </c>
      <c r="K5" s="495">
        <f t="shared" si="0"/>
        <v>46418</v>
      </c>
      <c r="L5" s="495">
        <f t="shared" si="0"/>
        <v>46446</v>
      </c>
      <c r="M5" s="495">
        <f t="shared" si="0"/>
        <v>46477</v>
      </c>
      <c r="N5" s="495">
        <f t="shared" si="0"/>
        <v>46507</v>
      </c>
      <c r="O5" s="495">
        <f t="shared" si="0"/>
        <v>46538</v>
      </c>
      <c r="P5" s="495">
        <f t="shared" si="0"/>
        <v>46568</v>
      </c>
      <c r="Q5" s="39" t="s">
        <v>18</v>
      </c>
      <c r="R5" s="40" t="s">
        <v>255</v>
      </c>
    </row>
    <row r="6" spans="2:18" ht="14.4" thickBot="1" x14ac:dyDescent="0.35">
      <c r="B6" s="41" t="s">
        <v>170</v>
      </c>
      <c r="C6" s="41" t="s">
        <v>295</v>
      </c>
      <c r="D6" s="42"/>
      <c r="E6" s="6"/>
      <c r="F6" s="46"/>
      <c r="G6" s="6"/>
      <c r="H6" s="46"/>
      <c r="I6" s="6"/>
      <c r="J6" s="46"/>
      <c r="K6" s="6"/>
      <c r="L6" s="46"/>
      <c r="M6" s="6"/>
      <c r="N6" s="46"/>
      <c r="O6" s="6"/>
      <c r="P6" s="46"/>
      <c r="Q6" s="50">
        <f t="shared" ref="Q6:Q37" si="1">SUM(E6:P6)</f>
        <v>0</v>
      </c>
      <c r="R6" s="395"/>
    </row>
    <row r="7" spans="2:18" ht="14.4" thickBot="1" x14ac:dyDescent="0.35">
      <c r="B7" s="41" t="s">
        <v>170</v>
      </c>
      <c r="C7" s="41" t="s">
        <v>297</v>
      </c>
      <c r="D7" s="42"/>
      <c r="E7" s="6"/>
      <c r="F7" s="6"/>
      <c r="G7" s="6"/>
      <c r="H7" s="6"/>
      <c r="I7" s="6"/>
      <c r="J7" s="6"/>
      <c r="K7" s="6"/>
      <c r="L7" s="6"/>
      <c r="M7" s="6"/>
      <c r="N7" s="6"/>
      <c r="O7" s="6"/>
      <c r="P7" s="6"/>
      <c r="Q7" s="50">
        <f t="shared" si="1"/>
        <v>0</v>
      </c>
      <c r="R7" s="395"/>
    </row>
    <row r="8" spans="2:18" ht="14.4" thickBot="1" x14ac:dyDescent="0.35">
      <c r="B8" s="41" t="s">
        <v>170</v>
      </c>
      <c r="C8" s="41" t="s">
        <v>298</v>
      </c>
      <c r="D8" s="42"/>
      <c r="E8" s="6"/>
      <c r="F8" s="6"/>
      <c r="G8" s="6"/>
      <c r="H8" s="6"/>
      <c r="I8" s="6"/>
      <c r="J8" s="6"/>
      <c r="K8" s="6"/>
      <c r="L8" s="6"/>
      <c r="M8" s="6"/>
      <c r="N8" s="6"/>
      <c r="O8" s="6"/>
      <c r="P8" s="6"/>
      <c r="Q8" s="50">
        <f t="shared" si="1"/>
        <v>0</v>
      </c>
      <c r="R8" s="395"/>
    </row>
    <row r="9" spans="2:18" ht="14.4" thickBot="1" x14ac:dyDescent="0.35">
      <c r="B9" s="41" t="s">
        <v>170</v>
      </c>
      <c r="C9" s="41" t="s">
        <v>299</v>
      </c>
      <c r="D9" s="42"/>
      <c r="E9" s="6"/>
      <c r="F9" s="6"/>
      <c r="G9" s="6"/>
      <c r="H9" s="6"/>
      <c r="I9" s="6"/>
      <c r="J9" s="6"/>
      <c r="K9" s="6"/>
      <c r="L9" s="6"/>
      <c r="M9" s="6"/>
      <c r="N9" s="6"/>
      <c r="O9" s="6"/>
      <c r="P9" s="6"/>
      <c r="Q9" s="50">
        <f t="shared" si="1"/>
        <v>0</v>
      </c>
      <c r="R9" s="395"/>
    </row>
    <row r="10" spans="2:18" ht="14.4" thickBot="1" x14ac:dyDescent="0.35">
      <c r="B10" s="41" t="s">
        <v>170</v>
      </c>
      <c r="C10" s="41" t="s">
        <v>300</v>
      </c>
      <c r="D10" s="42"/>
      <c r="E10" s="6"/>
      <c r="F10" s="6"/>
      <c r="G10" s="6"/>
      <c r="H10" s="6"/>
      <c r="I10" s="6"/>
      <c r="J10" s="6"/>
      <c r="K10" s="6"/>
      <c r="L10" s="6"/>
      <c r="M10" s="6"/>
      <c r="N10" s="6"/>
      <c r="O10" s="6"/>
      <c r="P10" s="6"/>
      <c r="Q10" s="50">
        <f t="shared" si="1"/>
        <v>0</v>
      </c>
      <c r="R10" s="395"/>
    </row>
    <row r="11" spans="2:18" ht="14.4" thickBot="1" x14ac:dyDescent="0.35">
      <c r="B11" s="41" t="s">
        <v>170</v>
      </c>
      <c r="C11" s="41" t="s">
        <v>301</v>
      </c>
      <c r="D11" s="42"/>
      <c r="E11" s="6"/>
      <c r="F11" s="6"/>
      <c r="G11" s="6"/>
      <c r="H11" s="6"/>
      <c r="I11" s="6"/>
      <c r="J11" s="6"/>
      <c r="K11" s="6"/>
      <c r="L11" s="6"/>
      <c r="M11" s="6"/>
      <c r="N11" s="6"/>
      <c r="O11" s="6"/>
      <c r="P11" s="6"/>
      <c r="Q11" s="50">
        <f t="shared" si="1"/>
        <v>0</v>
      </c>
      <c r="R11" s="395"/>
    </row>
    <row r="12" spans="2:18" ht="14.4" thickBot="1" x14ac:dyDescent="0.35">
      <c r="B12" s="41" t="s">
        <v>170</v>
      </c>
      <c r="C12" s="41" t="s">
        <v>302</v>
      </c>
      <c r="D12" s="42"/>
      <c r="E12" s="6"/>
      <c r="F12" s="6"/>
      <c r="G12" s="6"/>
      <c r="H12" s="6"/>
      <c r="I12" s="6"/>
      <c r="J12" s="6"/>
      <c r="K12" s="6"/>
      <c r="L12" s="6"/>
      <c r="M12" s="6"/>
      <c r="N12" s="6"/>
      <c r="O12" s="6"/>
      <c r="P12" s="6"/>
      <c r="Q12" s="50">
        <f t="shared" si="1"/>
        <v>0</v>
      </c>
      <c r="R12" s="395"/>
    </row>
    <row r="13" spans="2:18" ht="14.4" thickBot="1" x14ac:dyDescent="0.35">
      <c r="B13" s="41" t="s">
        <v>170</v>
      </c>
      <c r="C13" s="41" t="s">
        <v>303</v>
      </c>
      <c r="D13" s="42"/>
      <c r="E13" s="6"/>
      <c r="F13" s="6"/>
      <c r="G13" s="6"/>
      <c r="H13" s="6"/>
      <c r="I13" s="6"/>
      <c r="J13" s="6"/>
      <c r="K13" s="6"/>
      <c r="L13" s="6"/>
      <c r="M13" s="6"/>
      <c r="N13" s="6"/>
      <c r="O13" s="6"/>
      <c r="P13" s="6"/>
      <c r="Q13" s="50">
        <f t="shared" si="1"/>
        <v>0</v>
      </c>
      <c r="R13" s="395"/>
    </row>
    <row r="14" spans="2:18" ht="14.4" thickBot="1" x14ac:dyDescent="0.35">
      <c r="B14" s="41" t="s">
        <v>170</v>
      </c>
      <c r="C14" s="41" t="s">
        <v>304</v>
      </c>
      <c r="D14" s="42"/>
      <c r="E14" s="6"/>
      <c r="F14" s="46"/>
      <c r="G14" s="46"/>
      <c r="H14" s="46"/>
      <c r="I14" s="46"/>
      <c r="J14" s="46"/>
      <c r="K14" s="46"/>
      <c r="L14" s="46"/>
      <c r="M14" s="46"/>
      <c r="N14" s="46"/>
      <c r="O14" s="46"/>
      <c r="P14" s="47"/>
      <c r="Q14" s="50">
        <f t="shared" si="1"/>
        <v>0</v>
      </c>
      <c r="R14" s="395"/>
    </row>
    <row r="15" spans="2:18" ht="14.4" thickBot="1" x14ac:dyDescent="0.35">
      <c r="B15" s="41" t="s">
        <v>170</v>
      </c>
      <c r="C15" s="41" t="s">
        <v>305</v>
      </c>
      <c r="D15" s="42"/>
      <c r="E15" s="6"/>
      <c r="F15" s="6"/>
      <c r="G15" s="6"/>
      <c r="H15" s="6"/>
      <c r="I15" s="6"/>
      <c r="J15" s="6"/>
      <c r="K15" s="6"/>
      <c r="L15" s="6"/>
      <c r="M15" s="6"/>
      <c r="N15" s="6"/>
      <c r="O15" s="6"/>
      <c r="P15" s="6"/>
      <c r="Q15" s="50">
        <f t="shared" si="1"/>
        <v>0</v>
      </c>
      <c r="R15" s="395"/>
    </row>
    <row r="16" spans="2:18" ht="14.4" thickBot="1" x14ac:dyDescent="0.35">
      <c r="B16" s="41" t="s">
        <v>225</v>
      </c>
      <c r="C16" s="41" t="s">
        <v>306</v>
      </c>
      <c r="D16" s="42"/>
      <c r="E16" s="6"/>
      <c r="F16" s="46"/>
      <c r="G16" s="46"/>
      <c r="H16" s="46"/>
      <c r="I16" s="46"/>
      <c r="J16" s="46"/>
      <c r="K16" s="46"/>
      <c r="L16" s="46"/>
      <c r="M16" s="46"/>
      <c r="N16" s="46"/>
      <c r="O16" s="46"/>
      <c r="P16" s="47"/>
      <c r="Q16" s="50">
        <f t="shared" si="1"/>
        <v>0</v>
      </c>
      <c r="R16" s="395"/>
    </row>
    <row r="17" spans="2:18" ht="14.4" thickBot="1" x14ac:dyDescent="0.35">
      <c r="B17" s="41" t="s">
        <v>225</v>
      </c>
      <c r="C17" s="41" t="s">
        <v>307</v>
      </c>
      <c r="D17" s="42"/>
      <c r="E17" s="6"/>
      <c r="F17" s="46"/>
      <c r="G17" s="46"/>
      <c r="H17" s="46"/>
      <c r="I17" s="46"/>
      <c r="J17" s="46"/>
      <c r="K17" s="46"/>
      <c r="L17" s="46"/>
      <c r="M17" s="46"/>
      <c r="N17" s="46"/>
      <c r="O17" s="46"/>
      <c r="P17" s="46"/>
      <c r="Q17" s="50">
        <f t="shared" si="1"/>
        <v>0</v>
      </c>
      <c r="R17" s="395"/>
    </row>
    <row r="18" spans="2:18" ht="14.4" thickBot="1" x14ac:dyDescent="0.35">
      <c r="B18" s="41" t="s">
        <v>170</v>
      </c>
      <c r="C18" s="41" t="s">
        <v>308</v>
      </c>
      <c r="D18" s="42"/>
      <c r="E18" s="6"/>
      <c r="F18" s="6"/>
      <c r="G18" s="6"/>
      <c r="H18" s="6"/>
      <c r="I18" s="6"/>
      <c r="J18" s="6"/>
      <c r="K18" s="6"/>
      <c r="L18" s="6"/>
      <c r="M18" s="6"/>
      <c r="N18" s="6"/>
      <c r="O18" s="6"/>
      <c r="P18" s="6"/>
      <c r="Q18" s="50">
        <f t="shared" si="1"/>
        <v>0</v>
      </c>
      <c r="R18" s="395"/>
    </row>
    <row r="19" spans="2:18" ht="14.4" thickBot="1" x14ac:dyDescent="0.35">
      <c r="B19" s="41" t="s">
        <v>170</v>
      </c>
      <c r="C19" s="41" t="s">
        <v>309</v>
      </c>
      <c r="D19" s="42"/>
      <c r="E19" s="6"/>
      <c r="F19" s="6"/>
      <c r="G19" s="6"/>
      <c r="H19" s="6"/>
      <c r="I19" s="6"/>
      <c r="J19" s="6"/>
      <c r="K19" s="6"/>
      <c r="L19" s="6"/>
      <c r="M19" s="6"/>
      <c r="N19" s="6"/>
      <c r="O19" s="6"/>
      <c r="P19" s="6"/>
      <c r="Q19" s="50">
        <f t="shared" si="1"/>
        <v>0</v>
      </c>
      <c r="R19" s="395"/>
    </row>
    <row r="20" spans="2:18" ht="14.4" thickBot="1" x14ac:dyDescent="0.35">
      <c r="B20" s="41" t="s">
        <v>170</v>
      </c>
      <c r="C20" s="41" t="s">
        <v>310</v>
      </c>
      <c r="D20" s="42"/>
      <c r="E20" s="6"/>
      <c r="F20" s="6"/>
      <c r="G20" s="6"/>
      <c r="H20" s="6"/>
      <c r="I20" s="6"/>
      <c r="J20" s="6"/>
      <c r="K20" s="6"/>
      <c r="L20" s="6"/>
      <c r="M20" s="6"/>
      <c r="N20" s="6"/>
      <c r="O20" s="6"/>
      <c r="P20" s="6"/>
      <c r="Q20" s="50">
        <f t="shared" si="1"/>
        <v>0</v>
      </c>
      <c r="R20" s="395"/>
    </row>
    <row r="21" spans="2:18" ht="14.4" thickBot="1" x14ac:dyDescent="0.35">
      <c r="B21" s="41" t="s">
        <v>172</v>
      </c>
      <c r="C21" s="41" t="s">
        <v>311</v>
      </c>
      <c r="D21" s="42"/>
      <c r="E21" s="6"/>
      <c r="F21" s="6"/>
      <c r="G21" s="6"/>
      <c r="H21" s="6"/>
      <c r="I21" s="6"/>
      <c r="J21" s="6"/>
      <c r="K21" s="6"/>
      <c r="L21" s="6"/>
      <c r="M21" s="6"/>
      <c r="N21" s="6"/>
      <c r="O21" s="6"/>
      <c r="P21" s="6"/>
      <c r="Q21" s="50">
        <f t="shared" si="1"/>
        <v>0</v>
      </c>
      <c r="R21" s="395"/>
    </row>
    <row r="22" spans="2:18" ht="14.4" thickBot="1" x14ac:dyDescent="0.35">
      <c r="B22" s="41" t="s">
        <v>172</v>
      </c>
      <c r="C22" s="41" t="s">
        <v>396</v>
      </c>
      <c r="D22" s="42"/>
      <c r="E22" s="6"/>
      <c r="F22" s="6"/>
      <c r="G22" s="6"/>
      <c r="H22" s="6"/>
      <c r="I22" s="6"/>
      <c r="J22" s="6"/>
      <c r="K22" s="6"/>
      <c r="L22" s="6"/>
      <c r="M22" s="6"/>
      <c r="N22" s="6"/>
      <c r="O22" s="6"/>
      <c r="P22" s="6"/>
      <c r="Q22" s="50">
        <f t="shared" si="1"/>
        <v>0</v>
      </c>
      <c r="R22" s="395"/>
    </row>
    <row r="23" spans="2:18" ht="14.4" thickBot="1" x14ac:dyDescent="0.35">
      <c r="B23" s="41" t="s">
        <v>172</v>
      </c>
      <c r="C23" s="41" t="s">
        <v>312</v>
      </c>
      <c r="D23" s="42"/>
      <c r="E23" s="6"/>
      <c r="F23" s="6"/>
      <c r="G23" s="6"/>
      <c r="H23" s="6"/>
      <c r="I23" s="6"/>
      <c r="J23" s="6"/>
      <c r="K23" s="6"/>
      <c r="L23" s="6"/>
      <c r="M23" s="6"/>
      <c r="N23" s="6"/>
      <c r="O23" s="6"/>
      <c r="P23" s="6"/>
      <c r="Q23" s="50">
        <f t="shared" si="1"/>
        <v>0</v>
      </c>
      <c r="R23" s="395"/>
    </row>
    <row r="24" spans="2:18" ht="14.4" thickBot="1" x14ac:dyDescent="0.35">
      <c r="B24" s="41" t="s">
        <v>172</v>
      </c>
      <c r="C24" s="41" t="s">
        <v>313</v>
      </c>
      <c r="D24" s="42"/>
      <c r="E24" s="6"/>
      <c r="F24" s="6"/>
      <c r="G24" s="6"/>
      <c r="H24" s="6"/>
      <c r="I24" s="6"/>
      <c r="J24" s="6"/>
      <c r="K24" s="6"/>
      <c r="L24" s="6"/>
      <c r="M24" s="6"/>
      <c r="N24" s="6"/>
      <c r="O24" s="6"/>
      <c r="P24" s="6"/>
      <c r="Q24" s="50">
        <f t="shared" si="1"/>
        <v>0</v>
      </c>
      <c r="R24" s="395"/>
    </row>
    <row r="25" spans="2:18" ht="14.4" thickBot="1" x14ac:dyDescent="0.35">
      <c r="B25" s="41" t="s">
        <v>172</v>
      </c>
      <c r="C25" s="41" t="s">
        <v>314</v>
      </c>
      <c r="D25" s="42"/>
      <c r="E25" s="6"/>
      <c r="F25" s="6"/>
      <c r="G25" s="6"/>
      <c r="H25" s="6"/>
      <c r="I25" s="6"/>
      <c r="J25" s="6"/>
      <c r="K25" s="6"/>
      <c r="L25" s="6"/>
      <c r="M25" s="6"/>
      <c r="N25" s="6"/>
      <c r="O25" s="6"/>
      <c r="P25" s="6"/>
      <c r="Q25" s="50">
        <f t="shared" si="1"/>
        <v>0</v>
      </c>
      <c r="R25" s="395"/>
    </row>
    <row r="26" spans="2:18" ht="14.4" thickBot="1" x14ac:dyDescent="0.35">
      <c r="B26" s="41" t="s">
        <v>172</v>
      </c>
      <c r="C26" s="41" t="s">
        <v>315</v>
      </c>
      <c r="D26" s="42"/>
      <c r="E26" s="6"/>
      <c r="F26" s="6"/>
      <c r="G26" s="6"/>
      <c r="H26" s="6"/>
      <c r="I26" s="6"/>
      <c r="J26" s="6"/>
      <c r="K26" s="6"/>
      <c r="L26" s="6"/>
      <c r="M26" s="6"/>
      <c r="N26" s="6"/>
      <c r="O26" s="6"/>
      <c r="P26" s="6"/>
      <c r="Q26" s="50">
        <f t="shared" si="1"/>
        <v>0</v>
      </c>
      <c r="R26" s="395"/>
    </row>
    <row r="27" spans="2:18" ht="14.4" thickBot="1" x14ac:dyDescent="0.35">
      <c r="B27" s="41" t="s">
        <v>172</v>
      </c>
      <c r="C27" s="41" t="s">
        <v>316</v>
      </c>
      <c r="D27" s="42"/>
      <c r="E27" s="6"/>
      <c r="F27" s="6"/>
      <c r="G27" s="6"/>
      <c r="H27" s="6"/>
      <c r="I27" s="6"/>
      <c r="J27" s="6"/>
      <c r="K27" s="6"/>
      <c r="L27" s="6"/>
      <c r="M27" s="6"/>
      <c r="N27" s="6"/>
      <c r="O27" s="6"/>
      <c r="P27" s="6"/>
      <c r="Q27" s="50">
        <f t="shared" si="1"/>
        <v>0</v>
      </c>
      <c r="R27" s="395"/>
    </row>
    <row r="28" spans="2:18" ht="14.4" thickBot="1" x14ac:dyDescent="0.35">
      <c r="B28" s="41" t="s">
        <v>61</v>
      </c>
      <c r="C28" s="41" t="s">
        <v>317</v>
      </c>
      <c r="D28" s="42"/>
      <c r="E28" s="6"/>
      <c r="F28" s="6"/>
      <c r="G28" s="6"/>
      <c r="H28" s="6"/>
      <c r="I28" s="6"/>
      <c r="J28" s="6"/>
      <c r="K28" s="6"/>
      <c r="L28" s="6"/>
      <c r="M28" s="6"/>
      <c r="N28" s="6"/>
      <c r="O28" s="6"/>
      <c r="P28" s="6"/>
      <c r="Q28" s="50">
        <f t="shared" si="1"/>
        <v>0</v>
      </c>
      <c r="R28" s="395"/>
    </row>
    <row r="29" spans="2:18" ht="14.4" thickBot="1" x14ac:dyDescent="0.35">
      <c r="B29" s="41" t="s">
        <v>172</v>
      </c>
      <c r="C29" s="41" t="s">
        <v>318</v>
      </c>
      <c r="D29" s="42"/>
      <c r="E29" s="6"/>
      <c r="F29" s="6"/>
      <c r="G29" s="6"/>
      <c r="H29" s="6"/>
      <c r="I29" s="6"/>
      <c r="J29" s="6"/>
      <c r="K29" s="6"/>
      <c r="L29" s="6"/>
      <c r="M29" s="6"/>
      <c r="N29" s="6"/>
      <c r="O29" s="6"/>
      <c r="P29" s="6"/>
      <c r="Q29" s="50">
        <f t="shared" si="1"/>
        <v>0</v>
      </c>
      <c r="R29" s="395"/>
    </row>
    <row r="30" spans="2:18" ht="14.4" thickBot="1" x14ac:dyDescent="0.35">
      <c r="B30" s="41" t="s">
        <v>172</v>
      </c>
      <c r="C30" s="41" t="s">
        <v>319</v>
      </c>
      <c r="D30" s="4"/>
      <c r="E30" s="6"/>
      <c r="F30" s="6"/>
      <c r="G30" s="6"/>
      <c r="H30" s="6"/>
      <c r="I30" s="6"/>
      <c r="J30" s="6"/>
      <c r="K30" s="6"/>
      <c r="L30" s="6"/>
      <c r="M30" s="6"/>
      <c r="N30" s="6"/>
      <c r="O30" s="6"/>
      <c r="P30" s="6"/>
      <c r="Q30" s="50">
        <f t="shared" si="1"/>
        <v>0</v>
      </c>
      <c r="R30" s="395"/>
    </row>
    <row r="31" spans="2:18" ht="14.4" thickBot="1" x14ac:dyDescent="0.35">
      <c r="B31" s="41" t="s">
        <v>231</v>
      </c>
      <c r="C31" s="41" t="s">
        <v>320</v>
      </c>
      <c r="D31" s="42"/>
      <c r="E31" s="6"/>
      <c r="F31" s="6"/>
      <c r="G31" s="6"/>
      <c r="H31" s="6"/>
      <c r="I31" s="6"/>
      <c r="J31" s="6"/>
      <c r="K31" s="6"/>
      <c r="L31" s="6"/>
      <c r="M31" s="6"/>
      <c r="N31" s="6"/>
      <c r="O31" s="6"/>
      <c r="P31" s="6"/>
      <c r="Q31" s="50">
        <f t="shared" si="1"/>
        <v>0</v>
      </c>
      <c r="R31" s="395"/>
    </row>
    <row r="32" spans="2:18" ht="14.4" thickBot="1" x14ac:dyDescent="0.35">
      <c r="B32" s="41" t="s">
        <v>230</v>
      </c>
      <c r="C32" s="41" t="s">
        <v>321</v>
      </c>
      <c r="D32" s="42"/>
      <c r="E32" s="6"/>
      <c r="F32" s="6"/>
      <c r="G32" s="6"/>
      <c r="H32" s="6"/>
      <c r="I32" s="6"/>
      <c r="J32" s="6"/>
      <c r="K32" s="6"/>
      <c r="L32" s="6"/>
      <c r="M32" s="6"/>
      <c r="N32" s="6"/>
      <c r="O32" s="6"/>
      <c r="P32" s="6"/>
      <c r="Q32" s="50">
        <f t="shared" si="1"/>
        <v>0</v>
      </c>
      <c r="R32" s="395"/>
    </row>
    <row r="33" spans="2:18" ht="14.4" thickBot="1" x14ac:dyDescent="0.35">
      <c r="B33" s="41" t="s">
        <v>172</v>
      </c>
      <c r="C33" s="41" t="s">
        <v>247</v>
      </c>
      <c r="D33" s="42"/>
      <c r="E33" s="6"/>
      <c r="F33" s="6"/>
      <c r="G33" s="6"/>
      <c r="H33" s="6"/>
      <c r="I33" s="6"/>
      <c r="J33" s="6"/>
      <c r="K33" s="6"/>
      <c r="L33" s="6"/>
      <c r="M33" s="6"/>
      <c r="N33" s="6"/>
      <c r="O33" s="6"/>
      <c r="P33" s="6"/>
      <c r="Q33" s="50">
        <f t="shared" si="1"/>
        <v>0</v>
      </c>
      <c r="R33" s="395"/>
    </row>
    <row r="34" spans="2:18" ht="14.4" thickBot="1" x14ac:dyDescent="0.35">
      <c r="B34" s="41" t="s">
        <v>172</v>
      </c>
      <c r="C34" s="41" t="s">
        <v>322</v>
      </c>
      <c r="D34" s="42"/>
      <c r="E34" s="6"/>
      <c r="F34" s="6"/>
      <c r="G34" s="6"/>
      <c r="H34" s="6"/>
      <c r="I34" s="6"/>
      <c r="J34" s="6"/>
      <c r="K34" s="6"/>
      <c r="L34" s="6"/>
      <c r="M34" s="6"/>
      <c r="N34" s="6"/>
      <c r="O34" s="6"/>
      <c r="P34" s="6"/>
      <c r="Q34" s="50">
        <f t="shared" si="1"/>
        <v>0</v>
      </c>
      <c r="R34" s="395"/>
    </row>
    <row r="35" spans="2:18" ht="14.4" thickBot="1" x14ac:dyDescent="0.35">
      <c r="B35" s="41" t="s">
        <v>238</v>
      </c>
      <c r="C35" s="41" t="s">
        <v>324</v>
      </c>
      <c r="D35" s="42"/>
      <c r="E35" s="6"/>
      <c r="F35" s="6"/>
      <c r="G35" s="6"/>
      <c r="H35" s="6"/>
      <c r="I35" s="6"/>
      <c r="J35" s="6"/>
      <c r="K35" s="6"/>
      <c r="L35" s="6"/>
      <c r="M35" s="6"/>
      <c r="N35" s="6"/>
      <c r="O35" s="6"/>
      <c r="P35" s="6"/>
      <c r="Q35" s="50">
        <f t="shared" si="1"/>
        <v>0</v>
      </c>
      <c r="R35" s="395"/>
    </row>
    <row r="36" spans="2:18" ht="14.4" thickBot="1" x14ac:dyDescent="0.35">
      <c r="B36" s="41" t="s">
        <v>238</v>
      </c>
      <c r="C36" s="41" t="s">
        <v>325</v>
      </c>
      <c r="D36" s="42"/>
      <c r="E36" s="6"/>
      <c r="F36" s="6"/>
      <c r="G36" s="6"/>
      <c r="H36" s="6"/>
      <c r="I36" s="6"/>
      <c r="J36" s="6"/>
      <c r="K36" s="6"/>
      <c r="L36" s="6"/>
      <c r="M36" s="6"/>
      <c r="N36" s="6"/>
      <c r="O36" s="6"/>
      <c r="P36" s="6"/>
      <c r="Q36" s="50">
        <f t="shared" si="1"/>
        <v>0</v>
      </c>
      <c r="R36" s="395"/>
    </row>
    <row r="37" spans="2:18" ht="14.4" thickBot="1" x14ac:dyDescent="0.35">
      <c r="B37" s="41" t="s">
        <v>238</v>
      </c>
      <c r="C37" s="41" t="s">
        <v>326</v>
      </c>
      <c r="D37" s="42"/>
      <c r="E37" s="6"/>
      <c r="F37" s="6"/>
      <c r="G37" s="6"/>
      <c r="H37" s="6"/>
      <c r="I37" s="6"/>
      <c r="J37" s="6"/>
      <c r="K37" s="6"/>
      <c r="L37" s="6"/>
      <c r="M37" s="6"/>
      <c r="N37" s="6"/>
      <c r="O37" s="6"/>
      <c r="P37" s="6"/>
      <c r="Q37" s="50">
        <f t="shared" si="1"/>
        <v>0</v>
      </c>
      <c r="R37" s="395"/>
    </row>
    <row r="38" spans="2:18" ht="14.4" thickBot="1" x14ac:dyDescent="0.35">
      <c r="B38" s="41" t="s">
        <v>238</v>
      </c>
      <c r="C38" s="41" t="s">
        <v>327</v>
      </c>
      <c r="D38" s="42"/>
      <c r="E38" s="6"/>
      <c r="F38" s="6"/>
      <c r="G38" s="6"/>
      <c r="H38" s="6"/>
      <c r="I38" s="6"/>
      <c r="J38" s="6"/>
      <c r="K38" s="6"/>
      <c r="L38" s="6"/>
      <c r="M38" s="6"/>
      <c r="N38" s="6"/>
      <c r="O38" s="6"/>
      <c r="P38" s="6"/>
      <c r="Q38" s="50">
        <f t="shared" ref="Q38:Q69" si="2">SUM(E38:P38)</f>
        <v>0</v>
      </c>
      <c r="R38" s="395"/>
    </row>
    <row r="39" spans="2:18" ht="14.4" thickBot="1" x14ac:dyDescent="0.35">
      <c r="B39" s="41" t="s">
        <v>238</v>
      </c>
      <c r="C39" s="41" t="s">
        <v>328</v>
      </c>
      <c r="D39" s="42"/>
      <c r="E39" s="6"/>
      <c r="F39" s="6"/>
      <c r="G39" s="6"/>
      <c r="H39" s="6"/>
      <c r="I39" s="6"/>
      <c r="J39" s="6"/>
      <c r="K39" s="6"/>
      <c r="L39" s="6"/>
      <c r="M39" s="6"/>
      <c r="N39" s="6"/>
      <c r="O39" s="6"/>
      <c r="P39" s="6"/>
      <c r="Q39" s="50">
        <f t="shared" si="2"/>
        <v>0</v>
      </c>
      <c r="R39" s="395"/>
    </row>
    <row r="40" spans="2:18" ht="14.4" thickBot="1" x14ac:dyDescent="0.35">
      <c r="B40" s="41" t="s">
        <v>238</v>
      </c>
      <c r="C40" s="41" t="s">
        <v>329</v>
      </c>
      <c r="D40" s="42"/>
      <c r="E40" s="6"/>
      <c r="F40" s="6"/>
      <c r="G40" s="6"/>
      <c r="H40" s="6"/>
      <c r="I40" s="6"/>
      <c r="J40" s="6"/>
      <c r="K40" s="6"/>
      <c r="L40" s="6"/>
      <c r="M40" s="6"/>
      <c r="N40" s="6"/>
      <c r="O40" s="6"/>
      <c r="P40" s="6"/>
      <c r="Q40" s="50">
        <f t="shared" si="2"/>
        <v>0</v>
      </c>
      <c r="R40" s="395"/>
    </row>
    <row r="41" spans="2:18" ht="14.4" thickBot="1" x14ac:dyDescent="0.35">
      <c r="B41" s="41" t="s">
        <v>238</v>
      </c>
      <c r="C41" s="41" t="s">
        <v>330</v>
      </c>
      <c r="D41" s="42"/>
      <c r="E41" s="6"/>
      <c r="F41" s="6"/>
      <c r="G41" s="6"/>
      <c r="H41" s="6"/>
      <c r="I41" s="6"/>
      <c r="J41" s="6"/>
      <c r="K41" s="6"/>
      <c r="L41" s="6"/>
      <c r="M41" s="6"/>
      <c r="N41" s="6"/>
      <c r="O41" s="6"/>
      <c r="P41" s="6"/>
      <c r="Q41" s="50">
        <f t="shared" si="2"/>
        <v>0</v>
      </c>
      <c r="R41" s="395"/>
    </row>
    <row r="42" spans="2:18" ht="14.4" thickBot="1" x14ac:dyDescent="0.35">
      <c r="B42" s="41"/>
      <c r="C42" s="44"/>
      <c r="D42" s="45"/>
      <c r="E42" s="6"/>
      <c r="F42" s="46"/>
      <c r="G42" s="46"/>
      <c r="H42" s="46"/>
      <c r="I42" s="46"/>
      <c r="J42" s="46"/>
      <c r="K42" s="46"/>
      <c r="L42" s="46"/>
      <c r="M42" s="46"/>
      <c r="N42" s="46"/>
      <c r="O42" s="46"/>
      <c r="P42" s="47"/>
      <c r="Q42" s="50">
        <f t="shared" si="2"/>
        <v>0</v>
      </c>
      <c r="R42" s="395"/>
    </row>
    <row r="43" spans="2:18" ht="14.4" thickBot="1" x14ac:dyDescent="0.35">
      <c r="B43" s="41"/>
      <c r="C43" s="44"/>
      <c r="D43" s="45"/>
      <c r="E43" s="6"/>
      <c r="F43" s="46"/>
      <c r="G43" s="46"/>
      <c r="H43" s="46"/>
      <c r="I43" s="46"/>
      <c r="J43" s="46"/>
      <c r="K43" s="46"/>
      <c r="L43" s="46"/>
      <c r="M43" s="46"/>
      <c r="N43" s="46"/>
      <c r="O43" s="46"/>
      <c r="P43" s="47"/>
      <c r="Q43" s="50">
        <f t="shared" si="2"/>
        <v>0</v>
      </c>
      <c r="R43" s="395"/>
    </row>
    <row r="44" spans="2:18" ht="14.4" thickBot="1" x14ac:dyDescent="0.35">
      <c r="B44" s="41"/>
      <c r="C44" s="44"/>
      <c r="D44" s="45"/>
      <c r="E44" s="6"/>
      <c r="F44" s="46"/>
      <c r="G44" s="46"/>
      <c r="H44" s="46"/>
      <c r="I44" s="46"/>
      <c r="J44" s="46"/>
      <c r="K44" s="46"/>
      <c r="L44" s="46"/>
      <c r="M44" s="46"/>
      <c r="N44" s="46"/>
      <c r="O44" s="46"/>
      <c r="P44" s="47"/>
      <c r="Q44" s="50">
        <f t="shared" si="2"/>
        <v>0</v>
      </c>
      <c r="R44" s="395"/>
    </row>
    <row r="45" spans="2:18" ht="14.4" thickBot="1" x14ac:dyDescent="0.35">
      <c r="B45" s="41"/>
      <c r="C45" s="44"/>
      <c r="D45" s="45"/>
      <c r="E45" s="6"/>
      <c r="F45" s="46"/>
      <c r="G45" s="46"/>
      <c r="H45" s="46"/>
      <c r="I45" s="46"/>
      <c r="J45" s="46"/>
      <c r="K45" s="46"/>
      <c r="L45" s="46"/>
      <c r="M45" s="46"/>
      <c r="N45" s="46"/>
      <c r="O45" s="46"/>
      <c r="P45" s="47"/>
      <c r="Q45" s="50">
        <f t="shared" si="2"/>
        <v>0</v>
      </c>
      <c r="R45" s="395"/>
    </row>
    <row r="46" spans="2:18" ht="14.4" thickBot="1" x14ac:dyDescent="0.35">
      <c r="B46" s="41"/>
      <c r="C46" s="44"/>
      <c r="D46" s="45"/>
      <c r="E46" s="6"/>
      <c r="F46" s="46"/>
      <c r="G46" s="46"/>
      <c r="H46" s="46"/>
      <c r="I46" s="46"/>
      <c r="J46" s="46"/>
      <c r="K46" s="46"/>
      <c r="L46" s="46"/>
      <c r="M46" s="46"/>
      <c r="N46" s="46"/>
      <c r="O46" s="46"/>
      <c r="P46" s="47"/>
      <c r="Q46" s="50">
        <f t="shared" si="2"/>
        <v>0</v>
      </c>
      <c r="R46" s="395"/>
    </row>
    <row r="47" spans="2:18" ht="14.4" thickBot="1" x14ac:dyDescent="0.35">
      <c r="B47" s="41"/>
      <c r="C47" s="44"/>
      <c r="D47" s="45"/>
      <c r="E47" s="6"/>
      <c r="F47" s="46"/>
      <c r="G47" s="46"/>
      <c r="H47" s="46"/>
      <c r="I47" s="46"/>
      <c r="J47" s="46"/>
      <c r="K47" s="46"/>
      <c r="L47" s="46"/>
      <c r="M47" s="46"/>
      <c r="N47" s="46"/>
      <c r="O47" s="46"/>
      <c r="P47" s="47"/>
      <c r="Q47" s="50">
        <f t="shared" si="2"/>
        <v>0</v>
      </c>
      <c r="R47" s="395"/>
    </row>
    <row r="48" spans="2:18" ht="14.4" thickBot="1" x14ac:dyDescent="0.35">
      <c r="B48" s="41"/>
      <c r="C48" s="44"/>
      <c r="D48" s="45"/>
      <c r="E48" s="6"/>
      <c r="F48" s="46"/>
      <c r="G48" s="46"/>
      <c r="H48" s="46"/>
      <c r="I48" s="46"/>
      <c r="J48" s="46"/>
      <c r="K48" s="46"/>
      <c r="L48" s="46"/>
      <c r="M48" s="46"/>
      <c r="N48" s="46"/>
      <c r="O48" s="46"/>
      <c r="P48" s="47"/>
      <c r="Q48" s="50">
        <f t="shared" si="2"/>
        <v>0</v>
      </c>
      <c r="R48" s="395"/>
    </row>
    <row r="49" spans="2:18" ht="14.4" thickBot="1" x14ac:dyDescent="0.35">
      <c r="B49" s="41"/>
      <c r="C49" s="44"/>
      <c r="D49" s="45"/>
      <c r="E49" s="6"/>
      <c r="F49" s="46"/>
      <c r="G49" s="46"/>
      <c r="H49" s="46"/>
      <c r="I49" s="46"/>
      <c r="J49" s="46"/>
      <c r="K49" s="46"/>
      <c r="L49" s="46"/>
      <c r="M49" s="46"/>
      <c r="N49" s="46"/>
      <c r="O49" s="46"/>
      <c r="P49" s="47"/>
      <c r="Q49" s="50">
        <f t="shared" si="2"/>
        <v>0</v>
      </c>
      <c r="R49" s="395"/>
    </row>
    <row r="50" spans="2:18" ht="14.4" thickBot="1" x14ac:dyDescent="0.35">
      <c r="B50" s="41"/>
      <c r="C50" s="44"/>
      <c r="D50" s="45"/>
      <c r="E50" s="6"/>
      <c r="F50" s="46"/>
      <c r="G50" s="46"/>
      <c r="H50" s="46"/>
      <c r="I50" s="46"/>
      <c r="J50" s="46"/>
      <c r="K50" s="46"/>
      <c r="L50" s="46"/>
      <c r="M50" s="46"/>
      <c r="N50" s="46"/>
      <c r="O50" s="46"/>
      <c r="P50" s="47"/>
      <c r="Q50" s="50">
        <f t="shared" si="2"/>
        <v>0</v>
      </c>
      <c r="R50" s="395"/>
    </row>
    <row r="51" spans="2:18" ht="14.4" thickBot="1" x14ac:dyDescent="0.35">
      <c r="B51" s="41"/>
      <c r="C51" s="44"/>
      <c r="D51" s="45"/>
      <c r="E51" s="6"/>
      <c r="F51" s="46"/>
      <c r="G51" s="46"/>
      <c r="H51" s="46"/>
      <c r="I51" s="46"/>
      <c r="J51" s="46"/>
      <c r="K51" s="46"/>
      <c r="L51" s="46"/>
      <c r="M51" s="46"/>
      <c r="N51" s="46"/>
      <c r="O51" s="46"/>
      <c r="P51" s="47"/>
      <c r="Q51" s="50">
        <f t="shared" si="2"/>
        <v>0</v>
      </c>
      <c r="R51" s="395"/>
    </row>
    <row r="52" spans="2:18" ht="14.4" thickBot="1" x14ac:dyDescent="0.35">
      <c r="B52" s="44"/>
      <c r="C52" s="44"/>
      <c r="D52" s="44"/>
      <c r="E52" s="46"/>
      <c r="F52" s="46"/>
      <c r="G52" s="46"/>
      <c r="H52" s="46"/>
      <c r="I52" s="46"/>
      <c r="J52" s="46"/>
      <c r="K52" s="46"/>
      <c r="L52" s="46"/>
      <c r="M52" s="46"/>
      <c r="N52" s="46"/>
      <c r="O52" s="46"/>
      <c r="P52" s="47"/>
      <c r="Q52" s="50">
        <f t="shared" si="2"/>
        <v>0</v>
      </c>
      <c r="R52" s="395"/>
    </row>
    <row r="53" spans="2:18" ht="14.4" thickBot="1" x14ac:dyDescent="0.35">
      <c r="B53" s="44"/>
      <c r="C53" s="44"/>
      <c r="D53" s="44"/>
      <c r="E53" s="46"/>
      <c r="F53" s="46"/>
      <c r="G53" s="46"/>
      <c r="H53" s="46"/>
      <c r="I53" s="46"/>
      <c r="J53" s="46"/>
      <c r="K53" s="46"/>
      <c r="L53" s="46"/>
      <c r="M53" s="46"/>
      <c r="N53" s="46"/>
      <c r="O53" s="46"/>
      <c r="P53" s="47"/>
      <c r="Q53" s="50">
        <f t="shared" si="2"/>
        <v>0</v>
      </c>
      <c r="R53" s="395"/>
    </row>
    <row r="54" spans="2:18" ht="14.4" thickBot="1" x14ac:dyDescent="0.35">
      <c r="B54" s="44"/>
      <c r="C54" s="44"/>
      <c r="D54" s="44"/>
      <c r="E54" s="46"/>
      <c r="F54" s="46"/>
      <c r="G54" s="46"/>
      <c r="H54" s="46"/>
      <c r="I54" s="46"/>
      <c r="J54" s="46"/>
      <c r="K54" s="46"/>
      <c r="L54" s="46"/>
      <c r="M54" s="46"/>
      <c r="N54" s="46"/>
      <c r="O54" s="46"/>
      <c r="P54" s="47"/>
      <c r="Q54" s="50">
        <f t="shared" si="2"/>
        <v>0</v>
      </c>
      <c r="R54" s="395"/>
    </row>
    <row r="55" spans="2:18" ht="14.4" thickBot="1" x14ac:dyDescent="0.35">
      <c r="B55" s="44"/>
      <c r="C55" s="44"/>
      <c r="D55" s="44"/>
      <c r="E55" s="46"/>
      <c r="F55" s="46"/>
      <c r="G55" s="46"/>
      <c r="H55" s="46"/>
      <c r="I55" s="46"/>
      <c r="J55" s="46"/>
      <c r="K55" s="46"/>
      <c r="L55" s="46"/>
      <c r="M55" s="46"/>
      <c r="N55" s="46"/>
      <c r="O55" s="46"/>
      <c r="P55" s="47"/>
      <c r="Q55" s="50">
        <f t="shared" si="2"/>
        <v>0</v>
      </c>
      <c r="R55" s="395"/>
    </row>
    <row r="56" spans="2:18" ht="14.4" thickBot="1" x14ac:dyDescent="0.35">
      <c r="B56" s="44"/>
      <c r="C56" s="44"/>
      <c r="D56" s="44"/>
      <c r="E56" s="46"/>
      <c r="F56" s="46"/>
      <c r="G56" s="46"/>
      <c r="H56" s="46"/>
      <c r="I56" s="46"/>
      <c r="J56" s="46"/>
      <c r="K56" s="46"/>
      <c r="L56" s="46"/>
      <c r="M56" s="46"/>
      <c r="N56" s="46"/>
      <c r="O56" s="46"/>
      <c r="P56" s="47"/>
      <c r="Q56" s="50">
        <f t="shared" si="2"/>
        <v>0</v>
      </c>
      <c r="R56" s="395"/>
    </row>
    <row r="57" spans="2:18" ht="14.4" thickBot="1" x14ac:dyDescent="0.35">
      <c r="B57" s="44"/>
      <c r="C57" s="44"/>
      <c r="D57" s="44"/>
      <c r="E57" s="46"/>
      <c r="F57" s="46"/>
      <c r="G57" s="46"/>
      <c r="H57" s="46"/>
      <c r="I57" s="46"/>
      <c r="J57" s="46"/>
      <c r="K57" s="46"/>
      <c r="L57" s="46"/>
      <c r="M57" s="46"/>
      <c r="N57" s="46"/>
      <c r="O57" s="46"/>
      <c r="P57" s="47"/>
      <c r="Q57" s="50">
        <f t="shared" si="2"/>
        <v>0</v>
      </c>
      <c r="R57" s="395"/>
    </row>
    <row r="58" spans="2:18" ht="14.4" thickBot="1" x14ac:dyDescent="0.35">
      <c r="B58" s="44"/>
      <c r="C58" s="44"/>
      <c r="D58" s="44"/>
      <c r="E58" s="46"/>
      <c r="F58" s="46"/>
      <c r="G58" s="46"/>
      <c r="H58" s="46"/>
      <c r="I58" s="46"/>
      <c r="J58" s="46"/>
      <c r="K58" s="46"/>
      <c r="L58" s="46"/>
      <c r="M58" s="46"/>
      <c r="N58" s="46"/>
      <c r="O58" s="46"/>
      <c r="P58" s="47"/>
      <c r="Q58" s="50">
        <f t="shared" si="2"/>
        <v>0</v>
      </c>
      <c r="R58" s="395"/>
    </row>
    <row r="59" spans="2:18" ht="14.4" thickBot="1" x14ac:dyDescent="0.35">
      <c r="B59" s="44"/>
      <c r="C59" s="44"/>
      <c r="D59" s="44"/>
      <c r="E59" s="46"/>
      <c r="F59" s="46"/>
      <c r="G59" s="46"/>
      <c r="H59" s="46"/>
      <c r="I59" s="46"/>
      <c r="J59" s="46"/>
      <c r="K59" s="46"/>
      <c r="L59" s="46"/>
      <c r="M59" s="46"/>
      <c r="N59" s="46"/>
      <c r="O59" s="46"/>
      <c r="P59" s="47"/>
      <c r="Q59" s="50">
        <f t="shared" si="2"/>
        <v>0</v>
      </c>
      <c r="R59" s="395"/>
    </row>
    <row r="60" spans="2:18" ht="14.4" hidden="1" outlineLevel="1" thickBot="1" x14ac:dyDescent="0.35">
      <c r="B60" s="44"/>
      <c r="C60" s="44"/>
      <c r="D60" s="44"/>
      <c r="E60" s="46"/>
      <c r="F60" s="46"/>
      <c r="G60" s="46"/>
      <c r="H60" s="46"/>
      <c r="I60" s="46"/>
      <c r="J60" s="46"/>
      <c r="K60" s="46"/>
      <c r="L60" s="46"/>
      <c r="M60" s="46"/>
      <c r="N60" s="46"/>
      <c r="O60" s="46"/>
      <c r="P60" s="47"/>
      <c r="Q60" s="50">
        <f t="shared" si="2"/>
        <v>0</v>
      </c>
      <c r="R60" s="395"/>
    </row>
    <row r="61" spans="2:18" ht="14.4" hidden="1" outlineLevel="1" thickBot="1" x14ac:dyDescent="0.35">
      <c r="B61" s="44"/>
      <c r="C61" s="44"/>
      <c r="D61" s="44"/>
      <c r="E61" s="46"/>
      <c r="F61" s="46"/>
      <c r="G61" s="46"/>
      <c r="H61" s="46"/>
      <c r="I61" s="46"/>
      <c r="J61" s="46"/>
      <c r="K61" s="46"/>
      <c r="L61" s="46"/>
      <c r="M61" s="46"/>
      <c r="N61" s="46"/>
      <c r="O61" s="46"/>
      <c r="P61" s="47"/>
      <c r="Q61" s="50">
        <f t="shared" si="2"/>
        <v>0</v>
      </c>
      <c r="R61" s="395"/>
    </row>
    <row r="62" spans="2:18" ht="14.4" hidden="1" outlineLevel="1" thickBot="1" x14ac:dyDescent="0.35">
      <c r="B62" s="44"/>
      <c r="C62" s="44"/>
      <c r="D62" s="44"/>
      <c r="E62" s="46"/>
      <c r="F62" s="46"/>
      <c r="G62" s="46"/>
      <c r="H62" s="46"/>
      <c r="I62" s="46"/>
      <c r="J62" s="46"/>
      <c r="K62" s="46"/>
      <c r="L62" s="46"/>
      <c r="M62" s="46"/>
      <c r="N62" s="46"/>
      <c r="O62" s="46"/>
      <c r="P62" s="47"/>
      <c r="Q62" s="50">
        <f t="shared" si="2"/>
        <v>0</v>
      </c>
      <c r="R62" s="395"/>
    </row>
    <row r="63" spans="2:18" ht="14.4" hidden="1" outlineLevel="1" thickBot="1" x14ac:dyDescent="0.35">
      <c r="B63" s="44"/>
      <c r="C63" s="44"/>
      <c r="D63" s="44"/>
      <c r="E63" s="46"/>
      <c r="F63" s="46"/>
      <c r="G63" s="46"/>
      <c r="H63" s="46"/>
      <c r="I63" s="46"/>
      <c r="J63" s="46"/>
      <c r="K63" s="46"/>
      <c r="L63" s="46"/>
      <c r="M63" s="46"/>
      <c r="N63" s="46"/>
      <c r="O63" s="46"/>
      <c r="P63" s="47"/>
      <c r="Q63" s="50">
        <f t="shared" si="2"/>
        <v>0</v>
      </c>
      <c r="R63" s="395"/>
    </row>
    <row r="64" spans="2:18" ht="14.4" hidden="1" outlineLevel="1" thickBot="1" x14ac:dyDescent="0.35">
      <c r="B64" s="44"/>
      <c r="C64" s="44"/>
      <c r="D64" s="44"/>
      <c r="E64" s="46"/>
      <c r="F64" s="46"/>
      <c r="G64" s="46"/>
      <c r="H64" s="46"/>
      <c r="I64" s="46"/>
      <c r="J64" s="46"/>
      <c r="K64" s="46"/>
      <c r="L64" s="46"/>
      <c r="M64" s="46"/>
      <c r="N64" s="46"/>
      <c r="O64" s="46"/>
      <c r="P64" s="47"/>
      <c r="Q64" s="50">
        <f t="shared" si="2"/>
        <v>0</v>
      </c>
      <c r="R64" s="395"/>
    </row>
    <row r="65" spans="2:18" ht="14.4" hidden="1" outlineLevel="1" thickBot="1" x14ac:dyDescent="0.35">
      <c r="B65" s="44"/>
      <c r="C65" s="44"/>
      <c r="D65" s="44"/>
      <c r="E65" s="46"/>
      <c r="F65" s="46"/>
      <c r="G65" s="46"/>
      <c r="H65" s="46"/>
      <c r="I65" s="46"/>
      <c r="J65" s="46"/>
      <c r="K65" s="46"/>
      <c r="L65" s="46"/>
      <c r="M65" s="46"/>
      <c r="N65" s="46"/>
      <c r="O65" s="46"/>
      <c r="P65" s="47"/>
      <c r="Q65" s="50">
        <f t="shared" si="2"/>
        <v>0</v>
      </c>
      <c r="R65" s="395"/>
    </row>
    <row r="66" spans="2:18" ht="14.4" hidden="1" outlineLevel="1" thickBot="1" x14ac:dyDescent="0.35">
      <c r="B66" s="44"/>
      <c r="C66" s="44"/>
      <c r="D66" s="44"/>
      <c r="E66" s="46"/>
      <c r="F66" s="46"/>
      <c r="G66" s="46"/>
      <c r="H66" s="46"/>
      <c r="I66" s="46"/>
      <c r="J66" s="46"/>
      <c r="K66" s="46"/>
      <c r="L66" s="46"/>
      <c r="M66" s="46"/>
      <c r="N66" s="46"/>
      <c r="O66" s="46"/>
      <c r="P66" s="47"/>
      <c r="Q66" s="50">
        <f t="shared" si="2"/>
        <v>0</v>
      </c>
      <c r="R66" s="395"/>
    </row>
    <row r="67" spans="2:18" ht="14.4" hidden="1" outlineLevel="1" thickBot="1" x14ac:dyDescent="0.35">
      <c r="B67" s="44"/>
      <c r="C67" s="44"/>
      <c r="D67" s="44"/>
      <c r="E67" s="46"/>
      <c r="F67" s="46"/>
      <c r="G67" s="46"/>
      <c r="H67" s="46"/>
      <c r="I67" s="46"/>
      <c r="J67" s="46"/>
      <c r="K67" s="46"/>
      <c r="L67" s="46"/>
      <c r="M67" s="46"/>
      <c r="N67" s="46"/>
      <c r="O67" s="46"/>
      <c r="P67" s="47"/>
      <c r="Q67" s="50">
        <f t="shared" si="2"/>
        <v>0</v>
      </c>
      <c r="R67" s="395"/>
    </row>
    <row r="68" spans="2:18" ht="14.4" hidden="1" outlineLevel="1" thickBot="1" x14ac:dyDescent="0.35">
      <c r="B68" s="44"/>
      <c r="C68" s="44"/>
      <c r="D68" s="44"/>
      <c r="E68" s="46"/>
      <c r="F68" s="46"/>
      <c r="G68" s="46"/>
      <c r="H68" s="46"/>
      <c r="I68" s="46"/>
      <c r="J68" s="46"/>
      <c r="K68" s="46"/>
      <c r="L68" s="46"/>
      <c r="M68" s="46"/>
      <c r="N68" s="46"/>
      <c r="O68" s="46"/>
      <c r="P68" s="47"/>
      <c r="Q68" s="50">
        <f t="shared" si="2"/>
        <v>0</v>
      </c>
      <c r="R68" s="395"/>
    </row>
    <row r="69" spans="2:18" ht="14.4" hidden="1" outlineLevel="1" thickBot="1" x14ac:dyDescent="0.35">
      <c r="B69" s="44"/>
      <c r="C69" s="44"/>
      <c r="D69" s="44"/>
      <c r="E69" s="46"/>
      <c r="F69" s="46"/>
      <c r="G69" s="46"/>
      <c r="H69" s="46"/>
      <c r="I69" s="46"/>
      <c r="J69" s="46"/>
      <c r="K69" s="46"/>
      <c r="L69" s="46"/>
      <c r="M69" s="46"/>
      <c r="N69" s="46"/>
      <c r="O69" s="46"/>
      <c r="P69" s="47"/>
      <c r="Q69" s="50">
        <f t="shared" si="2"/>
        <v>0</v>
      </c>
      <c r="R69" s="395"/>
    </row>
    <row r="70" spans="2:18" ht="14.4" hidden="1" outlineLevel="1" thickBot="1" x14ac:dyDescent="0.35">
      <c r="B70" s="44"/>
      <c r="C70" s="44"/>
      <c r="D70" s="44"/>
      <c r="E70" s="46"/>
      <c r="F70" s="46"/>
      <c r="G70" s="46"/>
      <c r="H70" s="46"/>
      <c r="I70" s="46"/>
      <c r="J70" s="46"/>
      <c r="K70" s="46"/>
      <c r="L70" s="46"/>
      <c r="M70" s="46"/>
      <c r="N70" s="46"/>
      <c r="O70" s="46"/>
      <c r="P70" s="47"/>
      <c r="Q70" s="50">
        <f t="shared" ref="Q70:Q101" si="3">SUM(E70:P70)</f>
        <v>0</v>
      </c>
      <c r="R70" s="395"/>
    </row>
    <row r="71" spans="2:18" ht="14.4" hidden="1" outlineLevel="1" thickBot="1" x14ac:dyDescent="0.35">
      <c r="B71" s="44"/>
      <c r="C71" s="44"/>
      <c r="D71" s="44"/>
      <c r="E71" s="46"/>
      <c r="F71" s="46"/>
      <c r="G71" s="46"/>
      <c r="H71" s="46"/>
      <c r="I71" s="46"/>
      <c r="J71" s="46"/>
      <c r="K71" s="46"/>
      <c r="L71" s="46"/>
      <c r="M71" s="46"/>
      <c r="N71" s="46"/>
      <c r="O71" s="46"/>
      <c r="P71" s="47"/>
      <c r="Q71" s="50">
        <f t="shared" si="3"/>
        <v>0</v>
      </c>
      <c r="R71" s="395"/>
    </row>
    <row r="72" spans="2:18" ht="14.4" hidden="1" outlineLevel="1" thickBot="1" x14ac:dyDescent="0.35">
      <c r="B72" s="44"/>
      <c r="C72" s="44"/>
      <c r="D72" s="44"/>
      <c r="E72" s="46"/>
      <c r="F72" s="46"/>
      <c r="G72" s="46"/>
      <c r="H72" s="46"/>
      <c r="I72" s="46"/>
      <c r="J72" s="46"/>
      <c r="K72" s="46"/>
      <c r="L72" s="46"/>
      <c r="M72" s="46"/>
      <c r="N72" s="46"/>
      <c r="O72" s="46"/>
      <c r="P72" s="47"/>
      <c r="Q72" s="50">
        <f t="shared" si="3"/>
        <v>0</v>
      </c>
      <c r="R72" s="395"/>
    </row>
    <row r="73" spans="2:18" ht="14.4" hidden="1" outlineLevel="1" thickBot="1" x14ac:dyDescent="0.35">
      <c r="B73" s="44"/>
      <c r="C73" s="44"/>
      <c r="D73" s="44"/>
      <c r="E73" s="46"/>
      <c r="F73" s="46"/>
      <c r="G73" s="46"/>
      <c r="H73" s="46"/>
      <c r="I73" s="46"/>
      <c r="J73" s="46"/>
      <c r="K73" s="46"/>
      <c r="L73" s="46"/>
      <c r="M73" s="46"/>
      <c r="N73" s="46"/>
      <c r="O73" s="46"/>
      <c r="P73" s="47"/>
      <c r="Q73" s="50">
        <f t="shared" si="3"/>
        <v>0</v>
      </c>
      <c r="R73" s="395"/>
    </row>
    <row r="74" spans="2:18" ht="14.4" hidden="1" outlineLevel="1" thickBot="1" x14ac:dyDescent="0.35">
      <c r="B74" s="44"/>
      <c r="C74" s="44"/>
      <c r="D74" s="44"/>
      <c r="E74" s="46"/>
      <c r="F74" s="46"/>
      <c r="G74" s="46"/>
      <c r="H74" s="46"/>
      <c r="I74" s="46"/>
      <c r="J74" s="46"/>
      <c r="K74" s="46"/>
      <c r="L74" s="46"/>
      <c r="M74" s="46"/>
      <c r="N74" s="46"/>
      <c r="O74" s="46"/>
      <c r="P74" s="47"/>
      <c r="Q74" s="50">
        <f t="shared" si="3"/>
        <v>0</v>
      </c>
      <c r="R74" s="395"/>
    </row>
    <row r="75" spans="2:18" ht="14.4" hidden="1" outlineLevel="1" thickBot="1" x14ac:dyDescent="0.35">
      <c r="B75" s="44"/>
      <c r="C75" s="44"/>
      <c r="D75" s="44"/>
      <c r="E75" s="46"/>
      <c r="F75" s="46"/>
      <c r="G75" s="46"/>
      <c r="H75" s="46"/>
      <c r="I75" s="46"/>
      <c r="J75" s="46"/>
      <c r="K75" s="46"/>
      <c r="L75" s="46"/>
      <c r="M75" s="46"/>
      <c r="N75" s="46"/>
      <c r="O75" s="46"/>
      <c r="P75" s="47"/>
      <c r="Q75" s="50">
        <f t="shared" si="3"/>
        <v>0</v>
      </c>
      <c r="R75" s="395"/>
    </row>
    <row r="76" spans="2:18" ht="14.4" hidden="1" outlineLevel="1" thickBot="1" x14ac:dyDescent="0.35">
      <c r="B76" s="44"/>
      <c r="C76" s="44"/>
      <c r="D76" s="44"/>
      <c r="E76" s="46"/>
      <c r="F76" s="46"/>
      <c r="G76" s="46"/>
      <c r="H76" s="46"/>
      <c r="I76" s="46"/>
      <c r="J76" s="46"/>
      <c r="K76" s="46"/>
      <c r="L76" s="46"/>
      <c r="M76" s="46"/>
      <c r="N76" s="46"/>
      <c r="O76" s="46"/>
      <c r="P76" s="47"/>
      <c r="Q76" s="50">
        <f t="shared" si="3"/>
        <v>0</v>
      </c>
      <c r="R76" s="395"/>
    </row>
    <row r="77" spans="2:18" ht="14.4" hidden="1" outlineLevel="1" thickBot="1" x14ac:dyDescent="0.35">
      <c r="B77" s="44"/>
      <c r="C77" s="44"/>
      <c r="D77" s="44"/>
      <c r="E77" s="46"/>
      <c r="F77" s="46"/>
      <c r="G77" s="46"/>
      <c r="H77" s="46"/>
      <c r="I77" s="46"/>
      <c r="J77" s="46"/>
      <c r="K77" s="46"/>
      <c r="L77" s="46"/>
      <c r="M77" s="46"/>
      <c r="N77" s="46"/>
      <c r="O77" s="46"/>
      <c r="P77" s="47"/>
      <c r="Q77" s="50">
        <f t="shared" si="3"/>
        <v>0</v>
      </c>
      <c r="R77" s="395"/>
    </row>
    <row r="78" spans="2:18" ht="14.4" hidden="1" outlineLevel="1" thickBot="1" x14ac:dyDescent="0.35">
      <c r="B78" s="44"/>
      <c r="C78" s="44"/>
      <c r="D78" s="44"/>
      <c r="E78" s="46"/>
      <c r="F78" s="46"/>
      <c r="G78" s="46"/>
      <c r="H78" s="46"/>
      <c r="I78" s="46"/>
      <c r="J78" s="46"/>
      <c r="K78" s="46"/>
      <c r="L78" s="46"/>
      <c r="M78" s="46"/>
      <c r="N78" s="46"/>
      <c r="O78" s="46"/>
      <c r="P78" s="47"/>
      <c r="Q78" s="50">
        <f t="shared" si="3"/>
        <v>0</v>
      </c>
      <c r="R78" s="395"/>
    </row>
    <row r="79" spans="2:18" ht="14.4" hidden="1" outlineLevel="1" thickBot="1" x14ac:dyDescent="0.35">
      <c r="B79" s="44"/>
      <c r="C79" s="44"/>
      <c r="D79" s="44"/>
      <c r="E79" s="46"/>
      <c r="F79" s="46"/>
      <c r="G79" s="46"/>
      <c r="H79" s="46"/>
      <c r="I79" s="46"/>
      <c r="J79" s="46"/>
      <c r="K79" s="46"/>
      <c r="L79" s="46"/>
      <c r="M79" s="46"/>
      <c r="N79" s="46"/>
      <c r="O79" s="46"/>
      <c r="P79" s="47"/>
      <c r="Q79" s="50">
        <f t="shared" si="3"/>
        <v>0</v>
      </c>
      <c r="R79" s="395"/>
    </row>
    <row r="80" spans="2:18" ht="14.4" hidden="1" outlineLevel="1" thickBot="1" x14ac:dyDescent="0.35">
      <c r="B80" s="44"/>
      <c r="C80" s="44"/>
      <c r="D80" s="44"/>
      <c r="E80" s="46"/>
      <c r="F80" s="46"/>
      <c r="G80" s="46"/>
      <c r="H80" s="46"/>
      <c r="I80" s="46"/>
      <c r="J80" s="46"/>
      <c r="K80" s="46"/>
      <c r="L80" s="46"/>
      <c r="M80" s="46"/>
      <c r="N80" s="46"/>
      <c r="O80" s="46"/>
      <c r="P80" s="47"/>
      <c r="Q80" s="50">
        <f t="shared" si="3"/>
        <v>0</v>
      </c>
      <c r="R80" s="395"/>
    </row>
    <row r="81" spans="2:18" ht="14.4" hidden="1" outlineLevel="1" thickBot="1" x14ac:dyDescent="0.35">
      <c r="B81" s="44"/>
      <c r="C81" s="44"/>
      <c r="D81" s="44"/>
      <c r="E81" s="46"/>
      <c r="F81" s="46"/>
      <c r="G81" s="46"/>
      <c r="H81" s="46"/>
      <c r="I81" s="46"/>
      <c r="J81" s="46"/>
      <c r="K81" s="46"/>
      <c r="L81" s="46"/>
      <c r="M81" s="46"/>
      <c r="N81" s="46"/>
      <c r="O81" s="46"/>
      <c r="P81" s="47"/>
      <c r="Q81" s="50">
        <f t="shared" si="3"/>
        <v>0</v>
      </c>
      <c r="R81" s="395"/>
    </row>
    <row r="82" spans="2:18" ht="14.4" hidden="1" outlineLevel="1" thickBot="1" x14ac:dyDescent="0.35">
      <c r="B82" s="44"/>
      <c r="C82" s="44"/>
      <c r="D82" s="44"/>
      <c r="E82" s="46"/>
      <c r="F82" s="46"/>
      <c r="G82" s="46"/>
      <c r="H82" s="46"/>
      <c r="I82" s="46"/>
      <c r="J82" s="46"/>
      <c r="K82" s="46"/>
      <c r="L82" s="46"/>
      <c r="M82" s="46"/>
      <c r="N82" s="46"/>
      <c r="O82" s="46"/>
      <c r="P82" s="47"/>
      <c r="Q82" s="50">
        <f t="shared" si="3"/>
        <v>0</v>
      </c>
      <c r="R82" s="395"/>
    </row>
    <row r="83" spans="2:18" ht="14.4" hidden="1" outlineLevel="1" thickBot="1" x14ac:dyDescent="0.35">
      <c r="B83" s="44"/>
      <c r="C83" s="44"/>
      <c r="D83" s="44"/>
      <c r="E83" s="46"/>
      <c r="F83" s="46"/>
      <c r="G83" s="46"/>
      <c r="H83" s="46"/>
      <c r="I83" s="46"/>
      <c r="J83" s="46"/>
      <c r="K83" s="46"/>
      <c r="L83" s="46"/>
      <c r="M83" s="46"/>
      <c r="N83" s="46"/>
      <c r="O83" s="46"/>
      <c r="P83" s="47"/>
      <c r="Q83" s="50">
        <f t="shared" si="3"/>
        <v>0</v>
      </c>
      <c r="R83" s="395"/>
    </row>
    <row r="84" spans="2:18" ht="14.4" hidden="1" outlineLevel="1" thickBot="1" x14ac:dyDescent="0.35">
      <c r="B84" s="44"/>
      <c r="C84" s="44"/>
      <c r="D84" s="44"/>
      <c r="E84" s="46"/>
      <c r="F84" s="46"/>
      <c r="G84" s="46"/>
      <c r="H84" s="46"/>
      <c r="I84" s="46"/>
      <c r="J84" s="46"/>
      <c r="K84" s="46"/>
      <c r="L84" s="46"/>
      <c r="M84" s="46"/>
      <c r="N84" s="46"/>
      <c r="O84" s="46"/>
      <c r="P84" s="47"/>
      <c r="Q84" s="50">
        <f t="shared" si="3"/>
        <v>0</v>
      </c>
      <c r="R84" s="395"/>
    </row>
    <row r="85" spans="2:18" ht="14.4" hidden="1" outlineLevel="1" thickBot="1" x14ac:dyDescent="0.35">
      <c r="B85" s="44"/>
      <c r="C85" s="44"/>
      <c r="D85" s="44"/>
      <c r="E85" s="46"/>
      <c r="F85" s="46"/>
      <c r="G85" s="46"/>
      <c r="H85" s="46"/>
      <c r="I85" s="46"/>
      <c r="J85" s="46"/>
      <c r="K85" s="46"/>
      <c r="L85" s="46"/>
      <c r="M85" s="46"/>
      <c r="N85" s="46"/>
      <c r="O85" s="46"/>
      <c r="P85" s="47"/>
      <c r="Q85" s="50">
        <f t="shared" si="3"/>
        <v>0</v>
      </c>
      <c r="R85" s="395"/>
    </row>
    <row r="86" spans="2:18" ht="14.4" hidden="1" outlineLevel="1" thickBot="1" x14ac:dyDescent="0.35">
      <c r="B86" s="44"/>
      <c r="C86" s="44"/>
      <c r="D86" s="44"/>
      <c r="E86" s="46"/>
      <c r="F86" s="46"/>
      <c r="G86" s="46"/>
      <c r="H86" s="46"/>
      <c r="I86" s="46"/>
      <c r="J86" s="46"/>
      <c r="K86" s="46"/>
      <c r="L86" s="46"/>
      <c r="M86" s="46"/>
      <c r="N86" s="46"/>
      <c r="O86" s="46"/>
      <c r="P86" s="47"/>
      <c r="Q86" s="50">
        <f t="shared" si="3"/>
        <v>0</v>
      </c>
      <c r="R86" s="395"/>
    </row>
    <row r="87" spans="2:18" ht="14.4" hidden="1" outlineLevel="1" thickBot="1" x14ac:dyDescent="0.35">
      <c r="B87" s="44"/>
      <c r="C87" s="44"/>
      <c r="D87" s="44"/>
      <c r="E87" s="46"/>
      <c r="F87" s="46"/>
      <c r="G87" s="46"/>
      <c r="H87" s="46"/>
      <c r="I87" s="46"/>
      <c r="J87" s="46"/>
      <c r="K87" s="46"/>
      <c r="L87" s="46"/>
      <c r="M87" s="46"/>
      <c r="N87" s="46"/>
      <c r="O87" s="46"/>
      <c r="P87" s="47"/>
      <c r="Q87" s="50">
        <f t="shared" si="3"/>
        <v>0</v>
      </c>
      <c r="R87" s="395"/>
    </row>
    <row r="88" spans="2:18" ht="14.4" hidden="1" outlineLevel="1" thickBot="1" x14ac:dyDescent="0.35">
      <c r="B88" s="44"/>
      <c r="C88" s="44"/>
      <c r="D88" s="44"/>
      <c r="E88" s="46"/>
      <c r="F88" s="46"/>
      <c r="G88" s="46"/>
      <c r="H88" s="46"/>
      <c r="I88" s="46"/>
      <c r="J88" s="46"/>
      <c r="K88" s="46"/>
      <c r="L88" s="46"/>
      <c r="M88" s="46"/>
      <c r="N88" s="46"/>
      <c r="O88" s="46"/>
      <c r="P88" s="47"/>
      <c r="Q88" s="50">
        <f t="shared" si="3"/>
        <v>0</v>
      </c>
      <c r="R88" s="395"/>
    </row>
    <row r="89" spans="2:18" ht="14.4" hidden="1" outlineLevel="1" thickBot="1" x14ac:dyDescent="0.35">
      <c r="B89" s="44"/>
      <c r="C89" s="44"/>
      <c r="D89" s="44"/>
      <c r="E89" s="46"/>
      <c r="F89" s="46"/>
      <c r="G89" s="46"/>
      <c r="H89" s="46"/>
      <c r="I89" s="46"/>
      <c r="J89" s="46"/>
      <c r="K89" s="46"/>
      <c r="L89" s="46"/>
      <c r="M89" s="46"/>
      <c r="N89" s="46"/>
      <c r="O89" s="46"/>
      <c r="P89" s="47"/>
      <c r="Q89" s="50">
        <f t="shared" si="3"/>
        <v>0</v>
      </c>
      <c r="R89" s="395"/>
    </row>
    <row r="90" spans="2:18" ht="14.4" hidden="1" outlineLevel="1" thickBot="1" x14ac:dyDescent="0.35">
      <c r="B90" s="44"/>
      <c r="C90" s="44"/>
      <c r="D90" s="44"/>
      <c r="E90" s="46"/>
      <c r="F90" s="46"/>
      <c r="G90" s="46"/>
      <c r="H90" s="46"/>
      <c r="I90" s="46"/>
      <c r="J90" s="46"/>
      <c r="K90" s="46"/>
      <c r="L90" s="46"/>
      <c r="M90" s="46"/>
      <c r="N90" s="46"/>
      <c r="O90" s="46"/>
      <c r="P90" s="47"/>
      <c r="Q90" s="50">
        <f t="shared" si="3"/>
        <v>0</v>
      </c>
      <c r="R90" s="395"/>
    </row>
    <row r="91" spans="2:18" ht="14.4" hidden="1" outlineLevel="1" thickBot="1" x14ac:dyDescent="0.35">
      <c r="B91" s="44"/>
      <c r="C91" s="44"/>
      <c r="D91" s="44"/>
      <c r="E91" s="46"/>
      <c r="F91" s="46"/>
      <c r="G91" s="46"/>
      <c r="H91" s="46"/>
      <c r="I91" s="46"/>
      <c r="J91" s="46"/>
      <c r="K91" s="46"/>
      <c r="L91" s="46"/>
      <c r="M91" s="46"/>
      <c r="N91" s="46"/>
      <c r="O91" s="46"/>
      <c r="P91" s="47"/>
      <c r="Q91" s="50">
        <f t="shared" si="3"/>
        <v>0</v>
      </c>
      <c r="R91" s="395"/>
    </row>
    <row r="92" spans="2:18" ht="14.4" hidden="1" outlineLevel="1" thickBot="1" x14ac:dyDescent="0.35">
      <c r="B92" s="44"/>
      <c r="C92" s="44"/>
      <c r="D92" s="44"/>
      <c r="E92" s="46"/>
      <c r="F92" s="46"/>
      <c r="G92" s="46"/>
      <c r="H92" s="46"/>
      <c r="I92" s="46"/>
      <c r="J92" s="46"/>
      <c r="K92" s="46"/>
      <c r="L92" s="46"/>
      <c r="M92" s="46"/>
      <c r="N92" s="46"/>
      <c r="O92" s="46"/>
      <c r="P92" s="47"/>
      <c r="Q92" s="50">
        <f t="shared" si="3"/>
        <v>0</v>
      </c>
      <c r="R92" s="395"/>
    </row>
    <row r="93" spans="2:18" ht="14.4" hidden="1" outlineLevel="1" thickBot="1" x14ac:dyDescent="0.35">
      <c r="B93" s="44"/>
      <c r="C93" s="44"/>
      <c r="D93" s="44"/>
      <c r="E93" s="46"/>
      <c r="F93" s="46"/>
      <c r="G93" s="46"/>
      <c r="H93" s="46"/>
      <c r="I93" s="46"/>
      <c r="J93" s="46"/>
      <c r="K93" s="46"/>
      <c r="L93" s="46"/>
      <c r="M93" s="46"/>
      <c r="N93" s="46"/>
      <c r="O93" s="46"/>
      <c r="P93" s="47"/>
      <c r="Q93" s="50">
        <f t="shared" si="3"/>
        <v>0</v>
      </c>
      <c r="R93" s="395"/>
    </row>
    <row r="94" spans="2:18" ht="14.4" hidden="1" outlineLevel="1" thickBot="1" x14ac:dyDescent="0.35">
      <c r="B94" s="44"/>
      <c r="C94" s="44"/>
      <c r="D94" s="44"/>
      <c r="E94" s="46"/>
      <c r="F94" s="46"/>
      <c r="G94" s="46"/>
      <c r="H94" s="46"/>
      <c r="I94" s="46"/>
      <c r="J94" s="46"/>
      <c r="K94" s="46"/>
      <c r="L94" s="46"/>
      <c r="M94" s="46"/>
      <c r="N94" s="46"/>
      <c r="O94" s="46"/>
      <c r="P94" s="47"/>
      <c r="Q94" s="50">
        <f t="shared" si="3"/>
        <v>0</v>
      </c>
      <c r="R94" s="395"/>
    </row>
    <row r="95" spans="2:18" ht="14.4" hidden="1" outlineLevel="1" thickBot="1" x14ac:dyDescent="0.35">
      <c r="B95" s="44"/>
      <c r="C95" s="44"/>
      <c r="D95" s="44"/>
      <c r="E95" s="46"/>
      <c r="F95" s="46"/>
      <c r="G95" s="46"/>
      <c r="H95" s="46"/>
      <c r="I95" s="46"/>
      <c r="J95" s="46"/>
      <c r="K95" s="46"/>
      <c r="L95" s="46"/>
      <c r="M95" s="46"/>
      <c r="N95" s="46"/>
      <c r="O95" s="46"/>
      <c r="P95" s="47"/>
      <c r="Q95" s="50">
        <f t="shared" si="3"/>
        <v>0</v>
      </c>
      <c r="R95" s="395"/>
    </row>
    <row r="96" spans="2:18" ht="14.4" hidden="1" outlineLevel="1" thickBot="1" x14ac:dyDescent="0.35">
      <c r="B96" s="44"/>
      <c r="C96" s="44"/>
      <c r="D96" s="44"/>
      <c r="E96" s="46"/>
      <c r="F96" s="46"/>
      <c r="G96" s="46"/>
      <c r="H96" s="46"/>
      <c r="I96" s="46"/>
      <c r="J96" s="46"/>
      <c r="K96" s="46"/>
      <c r="L96" s="46"/>
      <c r="M96" s="46"/>
      <c r="N96" s="46"/>
      <c r="O96" s="46"/>
      <c r="P96" s="47"/>
      <c r="Q96" s="50">
        <f t="shared" si="3"/>
        <v>0</v>
      </c>
      <c r="R96" s="395"/>
    </row>
    <row r="97" spans="2:18" ht="14.4" hidden="1" outlineLevel="1" thickBot="1" x14ac:dyDescent="0.35">
      <c r="B97" s="44"/>
      <c r="C97" s="44"/>
      <c r="D97" s="44"/>
      <c r="E97" s="46"/>
      <c r="F97" s="46"/>
      <c r="G97" s="46"/>
      <c r="H97" s="46"/>
      <c r="I97" s="46"/>
      <c r="J97" s="46"/>
      <c r="K97" s="46"/>
      <c r="L97" s="46"/>
      <c r="M97" s="46"/>
      <c r="N97" s="46"/>
      <c r="O97" s="46"/>
      <c r="P97" s="47"/>
      <c r="Q97" s="50">
        <f t="shared" si="3"/>
        <v>0</v>
      </c>
      <c r="R97" s="395"/>
    </row>
    <row r="98" spans="2:18" ht="14.4" hidden="1" outlineLevel="1" thickBot="1" x14ac:dyDescent="0.35">
      <c r="B98" s="44"/>
      <c r="C98" s="44"/>
      <c r="D98" s="44"/>
      <c r="E98" s="46"/>
      <c r="F98" s="46"/>
      <c r="G98" s="46"/>
      <c r="H98" s="46"/>
      <c r="I98" s="46"/>
      <c r="J98" s="46"/>
      <c r="K98" s="46"/>
      <c r="L98" s="46"/>
      <c r="M98" s="46"/>
      <c r="N98" s="46"/>
      <c r="O98" s="46"/>
      <c r="P98" s="47"/>
      <c r="Q98" s="50">
        <f t="shared" si="3"/>
        <v>0</v>
      </c>
      <c r="R98" s="395"/>
    </row>
    <row r="99" spans="2:18" ht="14.4" hidden="1" outlineLevel="1" thickBot="1" x14ac:dyDescent="0.35">
      <c r="B99" s="44"/>
      <c r="C99" s="44"/>
      <c r="D99" s="44"/>
      <c r="E99" s="46"/>
      <c r="F99" s="46"/>
      <c r="G99" s="46"/>
      <c r="H99" s="46"/>
      <c r="I99" s="46"/>
      <c r="J99" s="46"/>
      <c r="K99" s="46"/>
      <c r="L99" s="46"/>
      <c r="M99" s="46"/>
      <c r="N99" s="46"/>
      <c r="O99" s="46"/>
      <c r="P99" s="47"/>
      <c r="Q99" s="50">
        <f t="shared" si="3"/>
        <v>0</v>
      </c>
      <c r="R99" s="395"/>
    </row>
    <row r="100" spans="2:18" ht="14.4" hidden="1" outlineLevel="1" thickBot="1" x14ac:dyDescent="0.35">
      <c r="B100" s="44"/>
      <c r="C100" s="44"/>
      <c r="D100" s="44"/>
      <c r="E100" s="46"/>
      <c r="F100" s="46"/>
      <c r="G100" s="46"/>
      <c r="H100" s="46"/>
      <c r="I100" s="46"/>
      <c r="J100" s="46"/>
      <c r="K100" s="46"/>
      <c r="L100" s="46"/>
      <c r="M100" s="46"/>
      <c r="N100" s="46"/>
      <c r="O100" s="46"/>
      <c r="P100" s="47"/>
      <c r="Q100" s="50">
        <f t="shared" si="3"/>
        <v>0</v>
      </c>
      <c r="R100" s="395"/>
    </row>
    <row r="101" spans="2:18" hidden="1" outlineLevel="1" x14ac:dyDescent="0.3">
      <c r="B101" s="44"/>
      <c r="C101" s="44"/>
      <c r="D101" s="44"/>
      <c r="E101" s="46"/>
      <c r="F101" s="46"/>
      <c r="G101" s="46"/>
      <c r="H101" s="46"/>
      <c r="I101" s="46"/>
      <c r="J101" s="46"/>
      <c r="K101" s="46"/>
      <c r="L101" s="46"/>
      <c r="M101" s="46"/>
      <c r="N101" s="46"/>
      <c r="O101" s="46"/>
      <c r="P101" s="47"/>
      <c r="Q101" s="717">
        <f t="shared" si="3"/>
        <v>0</v>
      </c>
      <c r="R101" s="395"/>
    </row>
    <row r="102" spans="2:18" ht="16.2" customHeight="1" collapsed="1" thickBot="1" x14ac:dyDescent="0.35">
      <c r="B102" s="712"/>
      <c r="C102" s="712"/>
      <c r="D102" s="712"/>
      <c r="E102" s="33"/>
      <c r="F102" s="33"/>
      <c r="G102" s="33"/>
      <c r="H102" s="33"/>
      <c r="I102" s="33"/>
      <c r="J102" s="33"/>
      <c r="K102" s="33"/>
      <c r="L102" s="33"/>
      <c r="M102" s="33"/>
      <c r="N102" s="33"/>
      <c r="O102" s="33"/>
      <c r="P102" s="33"/>
      <c r="Q102" s="715"/>
      <c r="R102" s="238"/>
    </row>
    <row r="103" spans="2:18" ht="14.4" thickBot="1" x14ac:dyDescent="0.35">
      <c r="B103" s="49" t="s">
        <v>323</v>
      </c>
      <c r="C103" s="49" t="s">
        <v>18</v>
      </c>
      <c r="D103" s="49"/>
      <c r="E103" s="50">
        <f t="shared" ref="E103:P103" si="4">SUM(E6:E101)</f>
        <v>0</v>
      </c>
      <c r="F103" s="50">
        <f t="shared" si="4"/>
        <v>0</v>
      </c>
      <c r="G103" s="50">
        <f t="shared" si="4"/>
        <v>0</v>
      </c>
      <c r="H103" s="50">
        <f t="shared" si="4"/>
        <v>0</v>
      </c>
      <c r="I103" s="50">
        <f t="shared" si="4"/>
        <v>0</v>
      </c>
      <c r="J103" s="50">
        <f t="shared" si="4"/>
        <v>0</v>
      </c>
      <c r="K103" s="50">
        <f t="shared" si="4"/>
        <v>0</v>
      </c>
      <c r="L103" s="50">
        <f t="shared" si="4"/>
        <v>0</v>
      </c>
      <c r="M103" s="50">
        <f t="shared" si="4"/>
        <v>0</v>
      </c>
      <c r="N103" s="50">
        <f t="shared" si="4"/>
        <v>0</v>
      </c>
      <c r="O103" s="50">
        <f t="shared" si="4"/>
        <v>0</v>
      </c>
      <c r="P103" s="43">
        <f t="shared" si="4"/>
        <v>0</v>
      </c>
      <c r="Q103" s="50">
        <f>SUM(E103:P103)</f>
        <v>0</v>
      </c>
      <c r="R103" s="395"/>
    </row>
    <row r="105" spans="2:18" x14ac:dyDescent="0.3">
      <c r="Q105" s="52" t="e">
        <f>+Q103/B3</f>
        <v>#DIV/0!</v>
      </c>
    </row>
    <row r="106" spans="2:18" x14ac:dyDescent="0.3">
      <c r="Q106" s="53" t="s">
        <v>213</v>
      </c>
    </row>
  </sheetData>
  <autoFilter ref="B5:R103" xr:uid="{262CAE44-BD68-4552-846E-12CEEA7B226B}"/>
  <dataConsolidate/>
  <phoneticPr fontId="4"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4BCE6C6-A811-4241-9644-408913F9C080}">
          <x14:formula1>
            <xm:f>'OpStatement List - Dropdowns'!$L$31:$L$39</xm:f>
          </x14:formula1>
          <xm:sqref>B6:B102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0AF47-86E3-46CB-AAE4-EC1622572BC8}">
  <sheetPr>
    <tabColor rgb="FF215C98"/>
  </sheetPr>
  <dimension ref="B2:Q31"/>
  <sheetViews>
    <sheetView workbookViewId="0">
      <selection activeCell="D34" sqref="D34"/>
    </sheetView>
  </sheetViews>
  <sheetFormatPr defaultColWidth="8.88671875" defaultRowHeight="13.8" outlineLevelCol="1" x14ac:dyDescent="0.3"/>
  <cols>
    <col min="1" max="1" width="8.88671875" style="3"/>
    <col min="2" max="2" width="34.44140625" style="3" customWidth="1"/>
    <col min="3" max="3" width="34" style="3" bestFit="1" customWidth="1"/>
    <col min="4" max="15" width="11.6640625" style="3" customWidth="1" outlineLevel="1"/>
    <col min="16" max="16" width="18.6640625" style="3" customWidth="1"/>
    <col min="17" max="17" width="57.109375" style="3" customWidth="1"/>
    <col min="18" max="16384" width="8.88671875" style="3"/>
  </cols>
  <sheetData>
    <row r="2" spans="2:17" x14ac:dyDescent="0.3">
      <c r="B2" s="37" t="s">
        <v>258</v>
      </c>
    </row>
    <row r="3" spans="2:17" x14ac:dyDescent="0.3">
      <c r="B3" s="38">
        <f>'Rent Schedule'!$E$21</f>
        <v>0</v>
      </c>
    </row>
    <row r="5" spans="2:17" ht="14.4" thickBot="1" x14ac:dyDescent="0.35">
      <c r="B5" s="39" t="s">
        <v>296</v>
      </c>
      <c r="C5" s="39" t="s">
        <v>2</v>
      </c>
      <c r="D5" s="495">
        <f>+'Absorption Schedule'!I25</f>
        <v>46204</v>
      </c>
      <c r="E5" s="495">
        <f>EOMONTH(D5,1 )</f>
        <v>46265</v>
      </c>
      <c r="F5" s="495">
        <f t="shared" ref="F5:O5" si="0">EOMONTH(E5,1 )</f>
        <v>46295</v>
      </c>
      <c r="G5" s="495">
        <f t="shared" si="0"/>
        <v>46326</v>
      </c>
      <c r="H5" s="495">
        <f t="shared" si="0"/>
        <v>46356</v>
      </c>
      <c r="I5" s="495">
        <f t="shared" si="0"/>
        <v>46387</v>
      </c>
      <c r="J5" s="495">
        <f t="shared" si="0"/>
        <v>46418</v>
      </c>
      <c r="K5" s="495">
        <f t="shared" si="0"/>
        <v>46446</v>
      </c>
      <c r="L5" s="495">
        <f t="shared" si="0"/>
        <v>46477</v>
      </c>
      <c r="M5" s="495">
        <f t="shared" si="0"/>
        <v>46507</v>
      </c>
      <c r="N5" s="495">
        <f t="shared" si="0"/>
        <v>46538</v>
      </c>
      <c r="O5" s="495">
        <f t="shared" si="0"/>
        <v>46568</v>
      </c>
      <c r="P5" s="39" t="s">
        <v>18</v>
      </c>
      <c r="Q5" s="40" t="s">
        <v>255</v>
      </c>
    </row>
    <row r="6" spans="2:17" ht="14.4" thickBot="1" x14ac:dyDescent="0.35">
      <c r="B6" s="41" t="s">
        <v>177</v>
      </c>
      <c r="C6" s="41" t="s">
        <v>391</v>
      </c>
      <c r="D6" s="6"/>
      <c r="E6" s="6"/>
      <c r="F6" s="6"/>
      <c r="G6" s="6"/>
      <c r="H6" s="6"/>
      <c r="I6" s="6"/>
      <c r="J6" s="6"/>
      <c r="K6" s="6"/>
      <c r="L6" s="6"/>
      <c r="M6" s="6"/>
      <c r="N6" s="6"/>
      <c r="O6" s="6"/>
      <c r="P6" s="43">
        <f t="shared" ref="P6:P22" si="1">SUM(D6:O6)</f>
        <v>0</v>
      </c>
      <c r="Q6" s="25"/>
    </row>
    <row r="7" spans="2:17" ht="14.4" thickBot="1" x14ac:dyDescent="0.35">
      <c r="B7" s="41" t="s">
        <v>173</v>
      </c>
      <c r="C7" s="41" t="s">
        <v>392</v>
      </c>
      <c r="D7" s="6"/>
      <c r="E7" s="6"/>
      <c r="F7" s="6"/>
      <c r="G7" s="6"/>
      <c r="H7" s="6"/>
      <c r="I7" s="6"/>
      <c r="J7" s="6"/>
      <c r="K7" s="6"/>
      <c r="L7" s="6"/>
      <c r="M7" s="6"/>
      <c r="N7" s="6"/>
      <c r="O7" s="6"/>
      <c r="P7" s="43">
        <f t="shared" si="1"/>
        <v>0</v>
      </c>
      <c r="Q7" s="25"/>
    </row>
    <row r="8" spans="2:17" ht="14.4" thickBot="1" x14ac:dyDescent="0.35">
      <c r="B8" s="41" t="s">
        <v>173</v>
      </c>
      <c r="C8" s="41" t="s">
        <v>393</v>
      </c>
      <c r="D8" s="6"/>
      <c r="E8" s="6"/>
      <c r="F8" s="6"/>
      <c r="G8" s="6"/>
      <c r="H8" s="6"/>
      <c r="I8" s="6"/>
      <c r="J8" s="6"/>
      <c r="K8" s="6"/>
      <c r="L8" s="6"/>
      <c r="M8" s="6"/>
      <c r="N8" s="6"/>
      <c r="O8" s="6"/>
      <c r="P8" s="43">
        <f t="shared" si="1"/>
        <v>0</v>
      </c>
      <c r="Q8" s="25"/>
    </row>
    <row r="9" spans="2:17" ht="14.4" thickBot="1" x14ac:dyDescent="0.35">
      <c r="B9" s="41" t="s">
        <v>175</v>
      </c>
      <c r="C9" s="41" t="s">
        <v>175</v>
      </c>
      <c r="D9" s="6"/>
      <c r="E9" s="6"/>
      <c r="F9" s="6"/>
      <c r="G9" s="6"/>
      <c r="H9" s="6"/>
      <c r="I9" s="6"/>
      <c r="J9" s="6"/>
      <c r="K9" s="6"/>
      <c r="L9" s="6"/>
      <c r="M9" s="6"/>
      <c r="N9" s="6"/>
      <c r="O9" s="6"/>
      <c r="P9" s="43">
        <f t="shared" si="1"/>
        <v>0</v>
      </c>
      <c r="Q9" s="25"/>
    </row>
    <row r="10" spans="2:17" ht="14.4" thickBot="1" x14ac:dyDescent="0.35">
      <c r="B10" s="41" t="s">
        <v>174</v>
      </c>
      <c r="C10" s="41" t="s">
        <v>174</v>
      </c>
      <c r="D10" s="6"/>
      <c r="E10" s="6"/>
      <c r="F10" s="6"/>
      <c r="G10" s="6"/>
      <c r="H10" s="6"/>
      <c r="I10" s="6"/>
      <c r="J10" s="6"/>
      <c r="K10" s="6"/>
      <c r="L10" s="6"/>
      <c r="M10" s="6"/>
      <c r="N10" s="6"/>
      <c r="O10" s="6"/>
      <c r="P10" s="43">
        <f t="shared" si="1"/>
        <v>0</v>
      </c>
      <c r="Q10" s="25"/>
    </row>
    <row r="11" spans="2:17" ht="14.4" thickBot="1" x14ac:dyDescent="0.35">
      <c r="B11" s="41" t="s">
        <v>174</v>
      </c>
      <c r="C11" s="41" t="s">
        <v>394</v>
      </c>
      <c r="D11" s="6"/>
      <c r="E11" s="6"/>
      <c r="F11" s="6"/>
      <c r="G11" s="6"/>
      <c r="H11" s="6"/>
      <c r="I11" s="6"/>
      <c r="J11" s="6"/>
      <c r="K11" s="6"/>
      <c r="L11" s="6"/>
      <c r="M11" s="6"/>
      <c r="N11" s="6"/>
      <c r="O11" s="6"/>
      <c r="P11" s="43">
        <f t="shared" si="1"/>
        <v>0</v>
      </c>
      <c r="Q11" s="25"/>
    </row>
    <row r="12" spans="2:17" ht="14.4" thickBot="1" x14ac:dyDescent="0.35">
      <c r="B12" s="41" t="s">
        <v>174</v>
      </c>
      <c r="C12" s="41" t="s">
        <v>395</v>
      </c>
      <c r="D12" s="6"/>
      <c r="E12" s="6"/>
      <c r="F12" s="6"/>
      <c r="G12" s="6"/>
      <c r="H12" s="6"/>
      <c r="I12" s="6"/>
      <c r="J12" s="6"/>
      <c r="K12" s="6"/>
      <c r="L12" s="6"/>
      <c r="M12" s="6"/>
      <c r="N12" s="6"/>
      <c r="O12" s="6"/>
      <c r="P12" s="43">
        <f t="shared" si="1"/>
        <v>0</v>
      </c>
      <c r="Q12" s="25"/>
    </row>
    <row r="13" spans="2:17" ht="14.4" thickBot="1" x14ac:dyDescent="0.35">
      <c r="B13" s="41"/>
      <c r="C13" s="41"/>
      <c r="D13" s="6"/>
      <c r="E13" s="6"/>
      <c r="F13" s="6"/>
      <c r="G13" s="6"/>
      <c r="H13" s="6"/>
      <c r="I13" s="6"/>
      <c r="J13" s="6"/>
      <c r="K13" s="6"/>
      <c r="L13" s="6"/>
      <c r="M13" s="6"/>
      <c r="N13" s="6"/>
      <c r="O13" s="6"/>
      <c r="P13" s="43">
        <f t="shared" si="1"/>
        <v>0</v>
      </c>
      <c r="Q13" s="25"/>
    </row>
    <row r="14" spans="2:17" ht="14.4" thickBot="1" x14ac:dyDescent="0.35">
      <c r="B14" s="41"/>
      <c r="C14" s="41"/>
      <c r="D14" s="6"/>
      <c r="E14" s="46"/>
      <c r="F14" s="46"/>
      <c r="G14" s="46"/>
      <c r="H14" s="46"/>
      <c r="I14" s="46"/>
      <c r="J14" s="46"/>
      <c r="K14" s="46"/>
      <c r="L14" s="46"/>
      <c r="M14" s="46"/>
      <c r="N14" s="46"/>
      <c r="O14" s="46"/>
      <c r="P14" s="43">
        <f t="shared" si="1"/>
        <v>0</v>
      </c>
      <c r="Q14" s="25"/>
    </row>
    <row r="15" spans="2:17" ht="14.4" thickBot="1" x14ac:dyDescent="0.35">
      <c r="B15" s="41"/>
      <c r="C15" s="41"/>
      <c r="D15" s="6"/>
      <c r="E15" s="6"/>
      <c r="F15" s="6"/>
      <c r="G15" s="6"/>
      <c r="H15" s="6"/>
      <c r="I15" s="6"/>
      <c r="J15" s="6"/>
      <c r="K15" s="6"/>
      <c r="L15" s="6"/>
      <c r="M15" s="6"/>
      <c r="N15" s="6"/>
      <c r="O15" s="6"/>
      <c r="P15" s="43">
        <f t="shared" si="1"/>
        <v>0</v>
      </c>
      <c r="Q15" s="25"/>
    </row>
    <row r="16" spans="2:17" ht="14.4" thickBot="1" x14ac:dyDescent="0.35">
      <c r="B16" s="41"/>
      <c r="C16" s="41"/>
      <c r="D16" s="6"/>
      <c r="E16" s="6"/>
      <c r="F16" s="6"/>
      <c r="G16" s="6"/>
      <c r="H16" s="6"/>
      <c r="I16" s="6"/>
      <c r="J16" s="6"/>
      <c r="K16" s="6"/>
      <c r="L16" s="6"/>
      <c r="M16" s="6"/>
      <c r="N16" s="6"/>
      <c r="O16" s="6"/>
      <c r="P16" s="43">
        <f t="shared" si="1"/>
        <v>0</v>
      </c>
      <c r="Q16" s="25"/>
    </row>
    <row r="17" spans="2:17" ht="14.4" thickBot="1" x14ac:dyDescent="0.35">
      <c r="B17" s="41"/>
      <c r="C17" s="41"/>
      <c r="D17" s="6"/>
      <c r="E17" s="6"/>
      <c r="F17" s="6"/>
      <c r="G17" s="6"/>
      <c r="H17" s="6"/>
      <c r="I17" s="6"/>
      <c r="J17" s="6"/>
      <c r="K17" s="6"/>
      <c r="L17" s="6"/>
      <c r="M17" s="6"/>
      <c r="N17" s="6"/>
      <c r="O17" s="6"/>
      <c r="P17" s="43">
        <f t="shared" si="1"/>
        <v>0</v>
      </c>
      <c r="Q17" s="25"/>
    </row>
    <row r="18" spans="2:17" ht="14.4" thickBot="1" x14ac:dyDescent="0.35">
      <c r="B18" s="41"/>
      <c r="C18" s="41"/>
      <c r="D18" s="6"/>
      <c r="E18" s="6"/>
      <c r="F18" s="6"/>
      <c r="G18" s="6"/>
      <c r="H18" s="6"/>
      <c r="I18" s="6"/>
      <c r="J18" s="6"/>
      <c r="K18" s="6"/>
      <c r="L18" s="6"/>
      <c r="M18" s="6"/>
      <c r="N18" s="6"/>
      <c r="O18" s="6"/>
      <c r="P18" s="43">
        <f t="shared" si="1"/>
        <v>0</v>
      </c>
      <c r="Q18" s="25"/>
    </row>
    <row r="19" spans="2:17" ht="14.4" thickBot="1" x14ac:dyDescent="0.35">
      <c r="B19" s="41"/>
      <c r="C19" s="41"/>
      <c r="D19" s="6"/>
      <c r="E19" s="6"/>
      <c r="F19" s="6"/>
      <c r="G19" s="6"/>
      <c r="H19" s="6"/>
      <c r="I19" s="6"/>
      <c r="J19" s="6"/>
      <c r="K19" s="6"/>
      <c r="L19" s="6"/>
      <c r="M19" s="6"/>
      <c r="N19" s="6"/>
      <c r="O19" s="6"/>
      <c r="P19" s="43">
        <f t="shared" si="1"/>
        <v>0</v>
      </c>
      <c r="Q19" s="25"/>
    </row>
    <row r="20" spans="2:17" ht="14.4" thickBot="1" x14ac:dyDescent="0.35">
      <c r="B20" s="41"/>
      <c r="C20" s="41"/>
      <c r="D20" s="6"/>
      <c r="E20" s="6"/>
      <c r="F20" s="6"/>
      <c r="G20" s="6"/>
      <c r="H20" s="6"/>
      <c r="I20" s="6"/>
      <c r="J20" s="6"/>
      <c r="K20" s="6"/>
      <c r="L20" s="6"/>
      <c r="M20" s="6"/>
      <c r="N20" s="6"/>
      <c r="O20" s="6"/>
      <c r="P20" s="43">
        <f t="shared" si="1"/>
        <v>0</v>
      </c>
      <c r="Q20" s="25"/>
    </row>
    <row r="21" spans="2:17" ht="14.4" thickBot="1" x14ac:dyDescent="0.35">
      <c r="B21" s="41"/>
      <c r="C21" s="41"/>
      <c r="D21" s="6"/>
      <c r="E21" s="6"/>
      <c r="F21" s="6"/>
      <c r="G21" s="6"/>
      <c r="H21" s="6"/>
      <c r="I21" s="6"/>
      <c r="J21" s="6"/>
      <c r="K21" s="6"/>
      <c r="L21" s="6"/>
      <c r="M21" s="6"/>
      <c r="N21" s="6"/>
      <c r="O21" s="6"/>
      <c r="P21" s="43">
        <f t="shared" si="1"/>
        <v>0</v>
      </c>
      <c r="Q21" s="25"/>
    </row>
    <row r="22" spans="2:17" ht="14.4" thickBot="1" x14ac:dyDescent="0.35">
      <c r="B22" s="41"/>
      <c r="C22" s="41"/>
      <c r="D22" s="6"/>
      <c r="E22" s="6"/>
      <c r="F22" s="6"/>
      <c r="G22" s="6"/>
      <c r="H22" s="6"/>
      <c r="I22" s="6"/>
      <c r="J22" s="6"/>
      <c r="K22" s="6"/>
      <c r="L22" s="6"/>
      <c r="M22" s="6"/>
      <c r="N22" s="6"/>
      <c r="O22" s="6"/>
      <c r="P22" s="43">
        <f t="shared" si="1"/>
        <v>0</v>
      </c>
      <c r="Q22" s="25"/>
    </row>
    <row r="23" spans="2:17" ht="6" customHeight="1" thickBot="1" x14ac:dyDescent="0.35">
      <c r="B23" s="76"/>
      <c r="C23" s="76"/>
      <c r="D23" s="33"/>
      <c r="E23" s="33"/>
      <c r="F23" s="33"/>
      <c r="G23" s="33"/>
      <c r="H23" s="33"/>
      <c r="I23" s="33"/>
      <c r="J23" s="33"/>
      <c r="K23" s="33"/>
      <c r="L23" s="33"/>
      <c r="M23" s="33"/>
      <c r="N23" s="33"/>
      <c r="O23" s="33"/>
      <c r="P23" s="714"/>
      <c r="Q23" s="395"/>
    </row>
    <row r="24" spans="2:17" ht="14.4" thickBot="1" x14ac:dyDescent="0.35">
      <c r="B24" s="49" t="s">
        <v>323</v>
      </c>
      <c r="C24" s="49" t="s">
        <v>18</v>
      </c>
      <c r="D24" s="50">
        <f t="shared" ref="D24:O24" si="2">SUM(D6:D22)</f>
        <v>0</v>
      </c>
      <c r="E24" s="50">
        <f t="shared" si="2"/>
        <v>0</v>
      </c>
      <c r="F24" s="50">
        <f t="shared" si="2"/>
        <v>0</v>
      </c>
      <c r="G24" s="50">
        <f t="shared" si="2"/>
        <v>0</v>
      </c>
      <c r="H24" s="50">
        <f t="shared" si="2"/>
        <v>0</v>
      </c>
      <c r="I24" s="50">
        <f t="shared" si="2"/>
        <v>0</v>
      </c>
      <c r="J24" s="50">
        <f t="shared" si="2"/>
        <v>0</v>
      </c>
      <c r="K24" s="50">
        <f t="shared" si="2"/>
        <v>0</v>
      </c>
      <c r="L24" s="50">
        <f t="shared" si="2"/>
        <v>0</v>
      </c>
      <c r="M24" s="50">
        <f t="shared" si="2"/>
        <v>0</v>
      </c>
      <c r="N24" s="50">
        <f t="shared" si="2"/>
        <v>0</v>
      </c>
      <c r="O24" s="43">
        <f t="shared" si="2"/>
        <v>0</v>
      </c>
      <c r="P24" s="43">
        <f>SUM(D24:O24)</f>
        <v>0</v>
      </c>
      <c r="Q24" s="25"/>
    </row>
    <row r="26" spans="2:17" x14ac:dyDescent="0.3">
      <c r="P26" s="52" t="e">
        <f>+P24/B3</f>
        <v>#DIV/0!</v>
      </c>
    </row>
    <row r="27" spans="2:17" x14ac:dyDescent="0.3">
      <c r="P27" s="53" t="s">
        <v>213</v>
      </c>
    </row>
    <row r="31" spans="2:17" x14ac:dyDescent="0.3">
      <c r="O31" s="33"/>
    </row>
  </sheetData>
  <autoFilter ref="B5:Q5" xr:uid="{9D50AF47-86E3-46CB-AAE4-EC1622572BC8}"/>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CBB5D96-5685-40F5-9BC2-5196879B9611}">
          <x14:formula1>
            <xm:f>'OpStatement List - Dropdowns'!$L$46:$L$53</xm:f>
          </x14:formula1>
          <xm:sqref>B6:B23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37ABD-1EF0-4AB2-8A36-BA0D73A426D4}">
  <sheetPr>
    <tabColor rgb="FFFFFFCC"/>
  </sheetPr>
  <dimension ref="B1:AN75"/>
  <sheetViews>
    <sheetView zoomScale="70" zoomScaleNormal="70" workbookViewId="0">
      <selection activeCell="V37" sqref="V37"/>
    </sheetView>
  </sheetViews>
  <sheetFormatPr defaultColWidth="8.88671875" defaultRowHeight="13.8" x14ac:dyDescent="0.3"/>
  <cols>
    <col min="1" max="1" width="8.88671875" style="3" customWidth="1"/>
    <col min="2" max="2" width="8.88671875" style="3"/>
    <col min="3" max="3" width="12.5546875" style="3" customWidth="1"/>
    <col min="4" max="4" width="13" style="3" customWidth="1"/>
    <col min="5" max="5" width="12.5546875" style="3" customWidth="1"/>
    <col min="6" max="6" width="10.33203125" style="3" bestFit="1" customWidth="1"/>
    <col min="7" max="7" width="10" style="3" bestFit="1" customWidth="1"/>
    <col min="8" max="8" width="11.6640625" style="3" customWidth="1"/>
    <col min="9" max="9" width="12.5546875" style="3" customWidth="1"/>
    <col min="10" max="10" width="14.21875" style="3" customWidth="1"/>
    <col min="11" max="11" width="11.21875" style="3" customWidth="1"/>
    <col min="12" max="12" width="16" style="3" customWidth="1"/>
    <col min="13" max="13" width="16.109375" style="3" customWidth="1"/>
    <col min="14" max="14" width="15.33203125" style="3" customWidth="1"/>
    <col min="15" max="15" width="2.33203125" style="3" customWidth="1"/>
    <col min="16" max="16" width="17.33203125" style="3" customWidth="1"/>
    <col min="17" max="17" width="3.109375" style="3" customWidth="1"/>
    <col min="18" max="18" width="15.5546875" style="2" customWidth="1"/>
    <col min="19" max="19" width="18.6640625" style="2" customWidth="1"/>
    <col min="20" max="20" width="11.33203125" style="2" customWidth="1"/>
    <col min="21" max="21" width="18.33203125" style="2" customWidth="1"/>
    <col min="22" max="22" width="19.21875" style="2" customWidth="1"/>
    <col min="23" max="23" width="1.109375" style="2" customWidth="1"/>
    <col min="24" max="24" width="17.88671875" style="2" customWidth="1"/>
    <col min="25" max="25" width="1.33203125" style="2" customWidth="1"/>
    <col min="26" max="26" width="22.5546875" style="2" customWidth="1"/>
    <col min="27" max="27" width="23.109375" style="2" customWidth="1"/>
    <col min="28" max="28" width="12.44140625" style="3" customWidth="1"/>
    <col min="29" max="29" width="8.88671875" style="3" customWidth="1"/>
    <col min="30" max="30" width="13" style="3" hidden="1" customWidth="1"/>
    <col min="31" max="31" width="9.44140625" style="3" hidden="1" customWidth="1"/>
    <col min="32" max="32" width="10.33203125" style="3" hidden="1" customWidth="1"/>
    <col min="33" max="33" width="12.6640625" style="3" hidden="1" customWidth="1"/>
    <col min="34" max="34" width="13.6640625" style="3" hidden="1" customWidth="1"/>
    <col min="35" max="35" width="15.33203125" style="3" hidden="1" customWidth="1"/>
    <col min="36" max="36" width="17.44140625" style="3" hidden="1" customWidth="1"/>
    <col min="37" max="39" width="8.88671875" style="3" customWidth="1"/>
    <col min="40" max="40" width="10" style="3" customWidth="1"/>
    <col min="41" max="16384" width="8.88671875" style="3"/>
  </cols>
  <sheetData>
    <row r="1" spans="2:40" x14ac:dyDescent="0.3">
      <c r="L1" s="121"/>
    </row>
    <row r="2" spans="2:40" x14ac:dyDescent="0.3">
      <c r="C2" s="733" t="s">
        <v>397</v>
      </c>
      <c r="D2" s="733"/>
      <c r="E2" s="733"/>
      <c r="R2" s="3"/>
      <c r="S2" s="3"/>
      <c r="T2" s="3"/>
      <c r="U2" s="3"/>
      <c r="V2" s="3"/>
      <c r="W2" s="3"/>
      <c r="X2" s="3"/>
      <c r="Y2" s="3"/>
      <c r="Z2" s="3"/>
      <c r="AA2" s="3"/>
      <c r="AB2" s="122"/>
    </row>
    <row r="3" spans="2:40" ht="35.4" customHeight="1" x14ac:dyDescent="0.3">
      <c r="C3" s="123" t="s">
        <v>398</v>
      </c>
      <c r="D3" s="123" t="s">
        <v>399</v>
      </c>
      <c r="E3" s="123" t="s">
        <v>400</v>
      </c>
      <c r="F3" s="123" t="s">
        <v>401</v>
      </c>
      <c r="G3" s="124" t="s">
        <v>402</v>
      </c>
      <c r="H3" s="124" t="s">
        <v>422</v>
      </c>
      <c r="I3" s="124" t="s">
        <v>403</v>
      </c>
      <c r="J3" s="123" t="s">
        <v>223</v>
      </c>
      <c r="K3" s="123" t="s">
        <v>441</v>
      </c>
      <c r="L3" s="123" t="s">
        <v>52</v>
      </c>
      <c r="M3" s="123" t="s">
        <v>404</v>
      </c>
      <c r="N3" s="124" t="s">
        <v>405</v>
      </c>
      <c r="O3" s="123"/>
      <c r="P3" s="124" t="s">
        <v>406</v>
      </c>
      <c r="Q3" s="55"/>
      <c r="R3" s="650" t="s">
        <v>407</v>
      </c>
      <c r="S3" s="650" t="s">
        <v>408</v>
      </c>
      <c r="T3" s="650" t="s">
        <v>492</v>
      </c>
      <c r="U3" s="650" t="s">
        <v>409</v>
      </c>
      <c r="V3" s="650" t="s">
        <v>410</v>
      </c>
      <c r="W3" s="651"/>
      <c r="X3" s="650" t="s">
        <v>411</v>
      </c>
      <c r="Y3" s="3"/>
      <c r="Z3" s="125" t="s">
        <v>490</v>
      </c>
      <c r="AA3" s="125" t="s">
        <v>491</v>
      </c>
      <c r="AB3" s="125" t="s">
        <v>496</v>
      </c>
      <c r="AD3" s="126" t="s">
        <v>412</v>
      </c>
      <c r="AE3" s="126" t="s">
        <v>401</v>
      </c>
      <c r="AF3" s="126" t="s">
        <v>413</v>
      </c>
      <c r="AG3" s="126" t="s">
        <v>223</v>
      </c>
      <c r="AH3" s="126" t="s">
        <v>52</v>
      </c>
      <c r="AI3" s="126" t="s">
        <v>404</v>
      </c>
      <c r="AJ3" s="126" t="s">
        <v>405</v>
      </c>
    </row>
    <row r="4" spans="2:40" x14ac:dyDescent="0.3">
      <c r="B4" s="33"/>
      <c r="C4" s="127"/>
      <c r="D4" s="127"/>
      <c r="E4" s="127"/>
      <c r="F4" s="128"/>
      <c r="G4" s="129"/>
      <c r="H4" s="667"/>
      <c r="I4" s="130" t="str">
        <f>IFERROR(1-(H4/E4),"")</f>
        <v/>
      </c>
      <c r="J4" s="36">
        <f>F4*G4</f>
        <v>0</v>
      </c>
      <c r="K4" s="131"/>
      <c r="L4" s="132">
        <f>-J4/52*K4</f>
        <v>0</v>
      </c>
      <c r="M4" s="36">
        <f>J4+L4</f>
        <v>0</v>
      </c>
      <c r="N4" s="664" t="str">
        <f>IFERROR(M4/F4,"")</f>
        <v/>
      </c>
      <c r="O4" s="134"/>
      <c r="P4" s="135">
        <f t="shared" ref="P4" si="0">+J4*E4*12</f>
        <v>0</v>
      </c>
      <c r="R4" s="46"/>
      <c r="S4" s="46" t="str">
        <f>IFERROR(R4/F4,"")</f>
        <v/>
      </c>
      <c r="T4" s="656" t="str">
        <f>IFERROR((R4-U4)/R4,"")</f>
        <v/>
      </c>
      <c r="U4" s="46"/>
      <c r="V4" s="46" t="str">
        <f>IFERROR(U4/F4,"")</f>
        <v/>
      </c>
      <c r="W4" s="25"/>
      <c r="X4" s="46" t="str">
        <f>IFERROR(S4*F4*E4*12,"")</f>
        <v/>
      </c>
      <c r="Y4" s="3"/>
      <c r="Z4" s="136" t="str">
        <f>IFERROR((P4-X4)/X4,"")</f>
        <v/>
      </c>
      <c r="AA4" s="136" t="str">
        <f>IFERROR((M4-U4)/U4,"")</f>
        <v/>
      </c>
      <c r="AB4" s="664">
        <f>M4-U4</f>
        <v>0</v>
      </c>
      <c r="AC4" s="55"/>
      <c r="AD4" s="136" t="str">
        <f t="shared" ref="AD4:AD30" si="1">IFERROR(E4/$E$31,"")</f>
        <v/>
      </c>
      <c r="AE4" s="137" t="str">
        <f>IFERROR(AD4*F4,"")</f>
        <v/>
      </c>
      <c r="AF4" s="133" t="str">
        <f>IFERROR(AD4*G4,"")</f>
        <v/>
      </c>
      <c r="AG4" s="133" t="str">
        <f>IFERROR(AD4*J4,"")</f>
        <v/>
      </c>
      <c r="AH4" s="133" t="str">
        <f>IFERROR(AD4*L4,"")</f>
        <v/>
      </c>
      <c r="AI4" s="133" t="str">
        <f>IFERROR(AD4*M4,"")</f>
        <v/>
      </c>
      <c r="AJ4" s="133" t="str">
        <f>IFERROR(AD4*N4,"")</f>
        <v/>
      </c>
      <c r="AK4" s="344"/>
      <c r="AL4" s="33"/>
      <c r="AN4" s="655"/>
    </row>
    <row r="5" spans="2:40" x14ac:dyDescent="0.3">
      <c r="B5" s="33"/>
      <c r="C5" s="127"/>
      <c r="D5" s="127"/>
      <c r="E5" s="127"/>
      <c r="F5" s="128"/>
      <c r="G5" s="129"/>
      <c r="H5" s="667"/>
      <c r="I5" s="130" t="str">
        <f t="shared" ref="I5:I30" si="2">IFERROR(1-(H5/E5),"")</f>
        <v/>
      </c>
      <c r="J5" s="36">
        <f t="shared" ref="J5:J30" si="3">F5*G5</f>
        <v>0</v>
      </c>
      <c r="K5" s="131"/>
      <c r="L5" s="132">
        <f t="shared" ref="L5:L30" si="4">-J5/52*K5</f>
        <v>0</v>
      </c>
      <c r="M5" s="36">
        <f t="shared" ref="M5:M30" si="5">J5+L5</f>
        <v>0</v>
      </c>
      <c r="N5" s="664" t="str">
        <f t="shared" ref="N5:N30" si="6">IFERROR(M5/F5,"")</f>
        <v/>
      </c>
      <c r="O5" s="134"/>
      <c r="P5" s="135">
        <f t="shared" ref="P5:P30" si="7">+J5*E5*12</f>
        <v>0</v>
      </c>
      <c r="R5" s="46"/>
      <c r="S5" s="46" t="str">
        <f t="shared" ref="S5:S30" si="8">IFERROR(R5/F5,"")</f>
        <v/>
      </c>
      <c r="T5" s="656" t="str">
        <f t="shared" ref="T5:T30" si="9">IFERROR((R5-U5)/R5,"")</f>
        <v/>
      </c>
      <c r="U5" s="46"/>
      <c r="V5" s="46" t="str">
        <f t="shared" ref="V5:V30" si="10">IFERROR(U5/F5,"")</f>
        <v/>
      </c>
      <c r="W5" s="25"/>
      <c r="X5" s="46" t="str">
        <f t="shared" ref="X5:X30" si="11">IFERROR(S5*F5*E5*12,"")</f>
        <v/>
      </c>
      <c r="Y5" s="3"/>
      <c r="Z5" s="136" t="str">
        <f t="shared" ref="Z5:Z30" si="12">IFERROR((P5-X5)/X5,"")</f>
        <v/>
      </c>
      <c r="AA5" s="136" t="str">
        <f t="shared" ref="AA5:AA30" si="13">IFERROR((M5-U5)/U5,"")</f>
        <v/>
      </c>
      <c r="AB5" s="664">
        <f t="shared" ref="AB5:AB30" si="14">M5-U5</f>
        <v>0</v>
      </c>
      <c r="AC5" s="55"/>
      <c r="AD5" s="136" t="str">
        <f t="shared" si="1"/>
        <v/>
      </c>
      <c r="AE5" s="137" t="str">
        <f t="shared" ref="AE5:AE30" si="15">IFERROR(AD5*F5,"")</f>
        <v/>
      </c>
      <c r="AF5" s="133" t="str">
        <f t="shared" ref="AF5:AF30" si="16">IFERROR(AD5*G5,"")</f>
        <v/>
      </c>
      <c r="AG5" s="133" t="str">
        <f t="shared" ref="AG5:AG30" si="17">IFERROR(AD5*J5,"")</f>
        <v/>
      </c>
      <c r="AH5" s="133" t="str">
        <f t="shared" ref="AH5:AH30" si="18">IFERROR(AD5*L5,"")</f>
        <v/>
      </c>
      <c r="AI5" s="133" t="str">
        <f t="shared" ref="AI5:AI30" si="19">IFERROR(AD5*M5,"")</f>
        <v/>
      </c>
      <c r="AJ5" s="133" t="str">
        <f t="shared" ref="AJ5:AJ30" si="20">IFERROR(AD5*N5,"")</f>
        <v/>
      </c>
      <c r="AK5" s="344"/>
      <c r="AL5" s="33"/>
      <c r="AN5" s="655"/>
    </row>
    <row r="6" spans="2:40" x14ac:dyDescent="0.3">
      <c r="B6" s="33"/>
      <c r="C6" s="127"/>
      <c r="D6" s="127"/>
      <c r="E6" s="127"/>
      <c r="F6" s="128"/>
      <c r="G6" s="129"/>
      <c r="H6" s="667"/>
      <c r="I6" s="130" t="str">
        <f t="shared" si="2"/>
        <v/>
      </c>
      <c r="J6" s="36">
        <f t="shared" si="3"/>
        <v>0</v>
      </c>
      <c r="K6" s="131"/>
      <c r="L6" s="132">
        <f t="shared" si="4"/>
        <v>0</v>
      </c>
      <c r="M6" s="36">
        <f t="shared" si="5"/>
        <v>0</v>
      </c>
      <c r="N6" s="664" t="str">
        <f t="shared" si="6"/>
        <v/>
      </c>
      <c r="O6" s="134"/>
      <c r="P6" s="135">
        <f t="shared" si="7"/>
        <v>0</v>
      </c>
      <c r="R6" s="46"/>
      <c r="S6" s="46" t="str">
        <f t="shared" si="8"/>
        <v/>
      </c>
      <c r="T6" s="656" t="str">
        <f t="shared" si="9"/>
        <v/>
      </c>
      <c r="U6" s="46"/>
      <c r="V6" s="46" t="str">
        <f t="shared" si="10"/>
        <v/>
      </c>
      <c r="W6" s="25"/>
      <c r="X6" s="46" t="str">
        <f t="shared" si="11"/>
        <v/>
      </c>
      <c r="Y6" s="3"/>
      <c r="Z6" s="136" t="str">
        <f t="shared" si="12"/>
        <v/>
      </c>
      <c r="AA6" s="136" t="str">
        <f t="shared" si="13"/>
        <v/>
      </c>
      <c r="AB6" s="664">
        <f t="shared" si="14"/>
        <v>0</v>
      </c>
      <c r="AC6" s="55"/>
      <c r="AD6" s="136" t="str">
        <f t="shared" si="1"/>
        <v/>
      </c>
      <c r="AE6" s="137" t="str">
        <f t="shared" si="15"/>
        <v/>
      </c>
      <c r="AF6" s="133" t="str">
        <f t="shared" si="16"/>
        <v/>
      </c>
      <c r="AG6" s="133" t="str">
        <f t="shared" si="17"/>
        <v/>
      </c>
      <c r="AH6" s="133" t="str">
        <f t="shared" si="18"/>
        <v/>
      </c>
      <c r="AI6" s="133" t="str">
        <f t="shared" si="19"/>
        <v/>
      </c>
      <c r="AJ6" s="133" t="str">
        <f t="shared" si="20"/>
        <v/>
      </c>
      <c r="AK6" s="344"/>
      <c r="AL6" s="33"/>
      <c r="AN6" s="655"/>
    </row>
    <row r="7" spans="2:40" x14ac:dyDescent="0.3">
      <c r="B7" s="33"/>
      <c r="C7" s="127"/>
      <c r="D7" s="127"/>
      <c r="E7" s="127"/>
      <c r="F7" s="128"/>
      <c r="G7" s="129"/>
      <c r="H7" s="667"/>
      <c r="I7" s="130" t="str">
        <f t="shared" si="2"/>
        <v/>
      </c>
      <c r="J7" s="36">
        <f t="shared" si="3"/>
        <v>0</v>
      </c>
      <c r="K7" s="131"/>
      <c r="L7" s="132">
        <f t="shared" si="4"/>
        <v>0</v>
      </c>
      <c r="M7" s="36">
        <f t="shared" si="5"/>
        <v>0</v>
      </c>
      <c r="N7" s="664" t="str">
        <f t="shared" si="6"/>
        <v/>
      </c>
      <c r="O7" s="134"/>
      <c r="P7" s="135">
        <f t="shared" si="7"/>
        <v>0</v>
      </c>
      <c r="R7" s="46"/>
      <c r="S7" s="46" t="str">
        <f t="shared" si="8"/>
        <v/>
      </c>
      <c r="T7" s="656" t="str">
        <f t="shared" si="9"/>
        <v/>
      </c>
      <c r="U7" s="46"/>
      <c r="V7" s="46" t="str">
        <f t="shared" si="10"/>
        <v/>
      </c>
      <c r="W7" s="25"/>
      <c r="X7" s="46" t="str">
        <f t="shared" si="11"/>
        <v/>
      </c>
      <c r="Y7" s="3"/>
      <c r="Z7" s="136" t="str">
        <f t="shared" si="12"/>
        <v/>
      </c>
      <c r="AA7" s="136" t="str">
        <f t="shared" si="13"/>
        <v/>
      </c>
      <c r="AB7" s="664">
        <f t="shared" si="14"/>
        <v>0</v>
      </c>
      <c r="AC7" s="55"/>
      <c r="AD7" s="136" t="str">
        <f t="shared" si="1"/>
        <v/>
      </c>
      <c r="AE7" s="137" t="str">
        <f t="shared" si="15"/>
        <v/>
      </c>
      <c r="AF7" s="133" t="str">
        <f t="shared" si="16"/>
        <v/>
      </c>
      <c r="AG7" s="133" t="str">
        <f t="shared" si="17"/>
        <v/>
      </c>
      <c r="AH7" s="133" t="str">
        <f t="shared" si="18"/>
        <v/>
      </c>
      <c r="AI7" s="133" t="str">
        <f t="shared" si="19"/>
        <v/>
      </c>
      <c r="AJ7" s="133" t="str">
        <f t="shared" si="20"/>
        <v/>
      </c>
      <c r="AK7" s="344"/>
      <c r="AL7" s="33"/>
      <c r="AN7" s="655"/>
    </row>
    <row r="8" spans="2:40" x14ac:dyDescent="0.3">
      <c r="B8" s="33"/>
      <c r="C8" s="127"/>
      <c r="D8" s="127"/>
      <c r="E8" s="127"/>
      <c r="F8" s="128"/>
      <c r="G8" s="129"/>
      <c r="H8" s="667"/>
      <c r="I8" s="130" t="str">
        <f t="shared" si="2"/>
        <v/>
      </c>
      <c r="J8" s="36">
        <f t="shared" si="3"/>
        <v>0</v>
      </c>
      <c r="K8" s="131"/>
      <c r="L8" s="132">
        <f t="shared" si="4"/>
        <v>0</v>
      </c>
      <c r="M8" s="36">
        <f t="shared" si="5"/>
        <v>0</v>
      </c>
      <c r="N8" s="664" t="str">
        <f t="shared" si="6"/>
        <v/>
      </c>
      <c r="O8" s="134"/>
      <c r="P8" s="135">
        <f t="shared" si="7"/>
        <v>0</v>
      </c>
      <c r="R8" s="46"/>
      <c r="S8" s="46" t="str">
        <f t="shared" si="8"/>
        <v/>
      </c>
      <c r="T8" s="656" t="str">
        <f t="shared" si="9"/>
        <v/>
      </c>
      <c r="U8" s="46"/>
      <c r="V8" s="46" t="str">
        <f t="shared" si="10"/>
        <v/>
      </c>
      <c r="W8" s="25"/>
      <c r="X8" s="46" t="str">
        <f t="shared" si="11"/>
        <v/>
      </c>
      <c r="Y8" s="3"/>
      <c r="Z8" s="136" t="str">
        <f t="shared" si="12"/>
        <v/>
      </c>
      <c r="AA8" s="136" t="str">
        <f t="shared" si="13"/>
        <v/>
      </c>
      <c r="AB8" s="664">
        <f t="shared" si="14"/>
        <v>0</v>
      </c>
      <c r="AC8" s="55"/>
      <c r="AD8" s="136" t="str">
        <f t="shared" si="1"/>
        <v/>
      </c>
      <c r="AE8" s="137" t="str">
        <f t="shared" si="15"/>
        <v/>
      </c>
      <c r="AF8" s="133" t="str">
        <f t="shared" si="16"/>
        <v/>
      </c>
      <c r="AG8" s="133" t="str">
        <f t="shared" si="17"/>
        <v/>
      </c>
      <c r="AH8" s="133" t="str">
        <f t="shared" si="18"/>
        <v/>
      </c>
      <c r="AI8" s="133" t="str">
        <f t="shared" si="19"/>
        <v/>
      </c>
      <c r="AJ8" s="133" t="str">
        <f t="shared" si="20"/>
        <v/>
      </c>
      <c r="AK8" s="344"/>
      <c r="AL8" s="33"/>
      <c r="AN8" s="655"/>
    </row>
    <row r="9" spans="2:40" x14ac:dyDescent="0.3">
      <c r="B9" s="33"/>
      <c r="C9" s="127"/>
      <c r="D9" s="127"/>
      <c r="E9" s="127"/>
      <c r="F9" s="128"/>
      <c r="G9" s="129"/>
      <c r="H9" s="667"/>
      <c r="I9" s="130" t="str">
        <f t="shared" si="2"/>
        <v/>
      </c>
      <c r="J9" s="36">
        <f t="shared" si="3"/>
        <v>0</v>
      </c>
      <c r="K9" s="131"/>
      <c r="L9" s="132">
        <f t="shared" si="4"/>
        <v>0</v>
      </c>
      <c r="M9" s="36">
        <f t="shared" si="5"/>
        <v>0</v>
      </c>
      <c r="N9" s="664" t="str">
        <f t="shared" si="6"/>
        <v/>
      </c>
      <c r="O9" s="134"/>
      <c r="P9" s="135">
        <f t="shared" si="7"/>
        <v>0</v>
      </c>
      <c r="R9" s="46"/>
      <c r="S9" s="46" t="str">
        <f t="shared" si="8"/>
        <v/>
      </c>
      <c r="T9" s="656" t="str">
        <f t="shared" si="9"/>
        <v/>
      </c>
      <c r="U9" s="46"/>
      <c r="V9" s="46" t="str">
        <f t="shared" si="10"/>
        <v/>
      </c>
      <c r="W9" s="25"/>
      <c r="X9" s="46" t="str">
        <f t="shared" si="11"/>
        <v/>
      </c>
      <c r="Y9" s="3"/>
      <c r="Z9" s="136" t="str">
        <f t="shared" si="12"/>
        <v/>
      </c>
      <c r="AA9" s="136" t="str">
        <f t="shared" si="13"/>
        <v/>
      </c>
      <c r="AB9" s="664">
        <f t="shared" si="14"/>
        <v>0</v>
      </c>
      <c r="AC9" s="55"/>
      <c r="AD9" s="136" t="str">
        <f t="shared" si="1"/>
        <v/>
      </c>
      <c r="AE9" s="137" t="str">
        <f t="shared" si="15"/>
        <v/>
      </c>
      <c r="AF9" s="133" t="str">
        <f t="shared" si="16"/>
        <v/>
      </c>
      <c r="AG9" s="133" t="str">
        <f t="shared" si="17"/>
        <v/>
      </c>
      <c r="AH9" s="133" t="str">
        <f t="shared" si="18"/>
        <v/>
      </c>
      <c r="AI9" s="133" t="str">
        <f t="shared" si="19"/>
        <v/>
      </c>
      <c r="AJ9" s="133" t="str">
        <f t="shared" si="20"/>
        <v/>
      </c>
      <c r="AK9" s="344"/>
      <c r="AL9" s="33"/>
      <c r="AN9" s="655"/>
    </row>
    <row r="10" spans="2:40" x14ac:dyDescent="0.3">
      <c r="B10" s="33"/>
      <c r="C10" s="127"/>
      <c r="D10" s="127"/>
      <c r="E10" s="127"/>
      <c r="F10" s="128"/>
      <c r="G10" s="129"/>
      <c r="H10" s="667"/>
      <c r="I10" s="130" t="str">
        <f t="shared" si="2"/>
        <v/>
      </c>
      <c r="J10" s="36">
        <f t="shared" si="3"/>
        <v>0</v>
      </c>
      <c r="K10" s="131"/>
      <c r="L10" s="132">
        <f t="shared" si="4"/>
        <v>0</v>
      </c>
      <c r="M10" s="36">
        <f t="shared" si="5"/>
        <v>0</v>
      </c>
      <c r="N10" s="664" t="str">
        <f t="shared" si="6"/>
        <v/>
      </c>
      <c r="O10" s="134"/>
      <c r="P10" s="135">
        <f t="shared" si="7"/>
        <v>0</v>
      </c>
      <c r="R10" s="46"/>
      <c r="S10" s="46" t="str">
        <f t="shared" si="8"/>
        <v/>
      </c>
      <c r="T10" s="656" t="str">
        <f t="shared" si="9"/>
        <v/>
      </c>
      <c r="U10" s="46"/>
      <c r="V10" s="46" t="str">
        <f t="shared" si="10"/>
        <v/>
      </c>
      <c r="W10" s="25"/>
      <c r="X10" s="46" t="str">
        <f t="shared" si="11"/>
        <v/>
      </c>
      <c r="Y10" s="3"/>
      <c r="Z10" s="136" t="str">
        <f t="shared" si="12"/>
        <v/>
      </c>
      <c r="AA10" s="136" t="str">
        <f t="shared" si="13"/>
        <v/>
      </c>
      <c r="AB10" s="664">
        <f t="shared" si="14"/>
        <v>0</v>
      </c>
      <c r="AC10" s="55"/>
      <c r="AD10" s="136" t="str">
        <f t="shared" si="1"/>
        <v/>
      </c>
      <c r="AE10" s="137" t="str">
        <f t="shared" si="15"/>
        <v/>
      </c>
      <c r="AF10" s="133" t="str">
        <f t="shared" si="16"/>
        <v/>
      </c>
      <c r="AG10" s="133" t="str">
        <f t="shared" si="17"/>
        <v/>
      </c>
      <c r="AH10" s="133" t="str">
        <f t="shared" si="18"/>
        <v/>
      </c>
      <c r="AI10" s="133" t="str">
        <f t="shared" si="19"/>
        <v/>
      </c>
      <c r="AJ10" s="133" t="str">
        <f t="shared" si="20"/>
        <v/>
      </c>
      <c r="AK10" s="344"/>
      <c r="AL10" s="33"/>
      <c r="AN10" s="655"/>
    </row>
    <row r="11" spans="2:40" x14ac:dyDescent="0.3">
      <c r="B11" s="33"/>
      <c r="C11" s="127"/>
      <c r="D11" s="127"/>
      <c r="E11" s="127"/>
      <c r="F11" s="128"/>
      <c r="G11" s="129"/>
      <c r="H11" s="667"/>
      <c r="I11" s="130" t="str">
        <f t="shared" si="2"/>
        <v/>
      </c>
      <c r="J11" s="36">
        <f t="shared" si="3"/>
        <v>0</v>
      </c>
      <c r="K11" s="131"/>
      <c r="L11" s="132">
        <f t="shared" si="4"/>
        <v>0</v>
      </c>
      <c r="M11" s="36">
        <f t="shared" si="5"/>
        <v>0</v>
      </c>
      <c r="N11" s="664" t="str">
        <f t="shared" si="6"/>
        <v/>
      </c>
      <c r="O11" s="134"/>
      <c r="P11" s="135">
        <f t="shared" si="7"/>
        <v>0</v>
      </c>
      <c r="R11" s="46"/>
      <c r="S11" s="46" t="str">
        <f t="shared" si="8"/>
        <v/>
      </c>
      <c r="T11" s="656" t="str">
        <f t="shared" si="9"/>
        <v/>
      </c>
      <c r="U11" s="46"/>
      <c r="V11" s="46" t="str">
        <f t="shared" si="10"/>
        <v/>
      </c>
      <c r="W11" s="25"/>
      <c r="X11" s="46" t="str">
        <f t="shared" si="11"/>
        <v/>
      </c>
      <c r="Y11" s="3"/>
      <c r="Z11" s="136" t="str">
        <f t="shared" si="12"/>
        <v/>
      </c>
      <c r="AA11" s="136" t="str">
        <f t="shared" si="13"/>
        <v/>
      </c>
      <c r="AB11" s="664">
        <f t="shared" si="14"/>
        <v>0</v>
      </c>
      <c r="AC11" s="55"/>
      <c r="AD11" s="136" t="str">
        <f t="shared" si="1"/>
        <v/>
      </c>
      <c r="AE11" s="137" t="str">
        <f t="shared" si="15"/>
        <v/>
      </c>
      <c r="AF11" s="133" t="str">
        <f t="shared" si="16"/>
        <v/>
      </c>
      <c r="AG11" s="133" t="str">
        <f t="shared" si="17"/>
        <v/>
      </c>
      <c r="AH11" s="133" t="str">
        <f t="shared" si="18"/>
        <v/>
      </c>
      <c r="AI11" s="133" t="str">
        <f t="shared" si="19"/>
        <v/>
      </c>
      <c r="AJ11" s="133" t="str">
        <f t="shared" si="20"/>
        <v/>
      </c>
      <c r="AK11" s="344"/>
      <c r="AL11" s="33"/>
      <c r="AN11" s="655"/>
    </row>
    <row r="12" spans="2:40" x14ac:dyDescent="0.3">
      <c r="B12" s="33"/>
      <c r="C12" s="127"/>
      <c r="D12" s="127"/>
      <c r="E12" s="127"/>
      <c r="F12" s="128"/>
      <c r="G12" s="129"/>
      <c r="H12" s="667"/>
      <c r="I12" s="130" t="str">
        <f t="shared" si="2"/>
        <v/>
      </c>
      <c r="J12" s="36">
        <f t="shared" si="3"/>
        <v>0</v>
      </c>
      <c r="K12" s="131"/>
      <c r="L12" s="132">
        <f t="shared" si="4"/>
        <v>0</v>
      </c>
      <c r="M12" s="36">
        <f t="shared" si="5"/>
        <v>0</v>
      </c>
      <c r="N12" s="664" t="str">
        <f t="shared" si="6"/>
        <v/>
      </c>
      <c r="O12" s="134"/>
      <c r="P12" s="135">
        <f t="shared" si="7"/>
        <v>0</v>
      </c>
      <c r="R12" s="46"/>
      <c r="S12" s="46" t="str">
        <f t="shared" si="8"/>
        <v/>
      </c>
      <c r="T12" s="656" t="str">
        <f t="shared" si="9"/>
        <v/>
      </c>
      <c r="U12" s="46"/>
      <c r="V12" s="46" t="str">
        <f t="shared" si="10"/>
        <v/>
      </c>
      <c r="W12" s="25"/>
      <c r="X12" s="46" t="str">
        <f t="shared" si="11"/>
        <v/>
      </c>
      <c r="Y12" s="3"/>
      <c r="Z12" s="136" t="str">
        <f t="shared" si="12"/>
        <v/>
      </c>
      <c r="AA12" s="136" t="str">
        <f t="shared" si="13"/>
        <v/>
      </c>
      <c r="AB12" s="664">
        <f t="shared" si="14"/>
        <v>0</v>
      </c>
      <c r="AC12" s="55"/>
      <c r="AD12" s="136" t="str">
        <f t="shared" si="1"/>
        <v/>
      </c>
      <c r="AE12" s="137" t="str">
        <f t="shared" si="15"/>
        <v/>
      </c>
      <c r="AF12" s="133" t="str">
        <f t="shared" si="16"/>
        <v/>
      </c>
      <c r="AG12" s="133" t="str">
        <f t="shared" si="17"/>
        <v/>
      </c>
      <c r="AH12" s="133" t="str">
        <f t="shared" si="18"/>
        <v/>
      </c>
      <c r="AI12" s="133" t="str">
        <f t="shared" si="19"/>
        <v/>
      </c>
      <c r="AJ12" s="133" t="str">
        <f t="shared" si="20"/>
        <v/>
      </c>
      <c r="AK12" s="344"/>
      <c r="AL12" s="33"/>
      <c r="AN12" s="655"/>
    </row>
    <row r="13" spans="2:40" x14ac:dyDescent="0.3">
      <c r="B13" s="33"/>
      <c r="C13" s="127"/>
      <c r="D13" s="127"/>
      <c r="E13" s="127"/>
      <c r="F13" s="128"/>
      <c r="G13" s="129"/>
      <c r="H13" s="667"/>
      <c r="I13" s="130" t="str">
        <f t="shared" si="2"/>
        <v/>
      </c>
      <c r="J13" s="36">
        <f t="shared" si="3"/>
        <v>0</v>
      </c>
      <c r="K13" s="131"/>
      <c r="L13" s="132">
        <f t="shared" si="4"/>
        <v>0</v>
      </c>
      <c r="M13" s="36">
        <f t="shared" si="5"/>
        <v>0</v>
      </c>
      <c r="N13" s="664" t="str">
        <f t="shared" si="6"/>
        <v/>
      </c>
      <c r="O13" s="134"/>
      <c r="P13" s="135">
        <f t="shared" si="7"/>
        <v>0</v>
      </c>
      <c r="R13" s="46"/>
      <c r="S13" s="46" t="str">
        <f t="shared" si="8"/>
        <v/>
      </c>
      <c r="T13" s="656" t="str">
        <f t="shared" si="9"/>
        <v/>
      </c>
      <c r="U13" s="46"/>
      <c r="V13" s="46" t="str">
        <f t="shared" si="10"/>
        <v/>
      </c>
      <c r="W13" s="25"/>
      <c r="X13" s="46" t="str">
        <f t="shared" si="11"/>
        <v/>
      </c>
      <c r="Y13" s="3"/>
      <c r="Z13" s="136" t="str">
        <f t="shared" si="12"/>
        <v/>
      </c>
      <c r="AA13" s="136" t="str">
        <f t="shared" si="13"/>
        <v/>
      </c>
      <c r="AB13" s="664">
        <f t="shared" si="14"/>
        <v>0</v>
      </c>
      <c r="AC13" s="55"/>
      <c r="AD13" s="136" t="str">
        <f t="shared" si="1"/>
        <v/>
      </c>
      <c r="AE13" s="137" t="str">
        <f t="shared" si="15"/>
        <v/>
      </c>
      <c r="AF13" s="133" t="str">
        <f t="shared" si="16"/>
        <v/>
      </c>
      <c r="AG13" s="133" t="str">
        <f t="shared" si="17"/>
        <v/>
      </c>
      <c r="AH13" s="133" t="str">
        <f t="shared" si="18"/>
        <v/>
      </c>
      <c r="AI13" s="133" t="str">
        <f t="shared" si="19"/>
        <v/>
      </c>
      <c r="AJ13" s="133" t="str">
        <f t="shared" si="20"/>
        <v/>
      </c>
      <c r="AK13" s="344"/>
      <c r="AL13" s="33"/>
      <c r="AN13" s="655"/>
    </row>
    <row r="14" spans="2:40" x14ac:dyDescent="0.3">
      <c r="B14" s="33"/>
      <c r="C14" s="127"/>
      <c r="D14" s="127"/>
      <c r="E14" s="127"/>
      <c r="F14" s="128"/>
      <c r="G14" s="129"/>
      <c r="H14" s="667"/>
      <c r="I14" s="130" t="str">
        <f t="shared" si="2"/>
        <v/>
      </c>
      <c r="J14" s="36">
        <f t="shared" si="3"/>
        <v>0</v>
      </c>
      <c r="K14" s="131"/>
      <c r="L14" s="132">
        <f t="shared" si="4"/>
        <v>0</v>
      </c>
      <c r="M14" s="36">
        <f t="shared" si="5"/>
        <v>0</v>
      </c>
      <c r="N14" s="664" t="str">
        <f t="shared" si="6"/>
        <v/>
      </c>
      <c r="O14" s="134"/>
      <c r="P14" s="135">
        <f t="shared" si="7"/>
        <v>0</v>
      </c>
      <c r="R14" s="46"/>
      <c r="S14" s="46" t="str">
        <f t="shared" si="8"/>
        <v/>
      </c>
      <c r="T14" s="656" t="str">
        <f t="shared" si="9"/>
        <v/>
      </c>
      <c r="U14" s="46"/>
      <c r="V14" s="46" t="str">
        <f t="shared" si="10"/>
        <v/>
      </c>
      <c r="W14" s="25"/>
      <c r="X14" s="46" t="str">
        <f t="shared" si="11"/>
        <v/>
      </c>
      <c r="Y14" s="3"/>
      <c r="Z14" s="136" t="str">
        <f t="shared" si="12"/>
        <v/>
      </c>
      <c r="AA14" s="136" t="str">
        <f t="shared" si="13"/>
        <v/>
      </c>
      <c r="AB14" s="664">
        <f t="shared" si="14"/>
        <v>0</v>
      </c>
      <c r="AC14" s="55"/>
      <c r="AD14" s="136" t="str">
        <f t="shared" si="1"/>
        <v/>
      </c>
      <c r="AE14" s="137" t="str">
        <f t="shared" si="15"/>
        <v/>
      </c>
      <c r="AF14" s="133" t="str">
        <f t="shared" si="16"/>
        <v/>
      </c>
      <c r="AG14" s="133" t="str">
        <f t="shared" si="17"/>
        <v/>
      </c>
      <c r="AH14" s="133" t="str">
        <f t="shared" si="18"/>
        <v/>
      </c>
      <c r="AI14" s="133" t="str">
        <f t="shared" si="19"/>
        <v/>
      </c>
      <c r="AJ14" s="133" t="str">
        <f t="shared" si="20"/>
        <v/>
      </c>
      <c r="AK14" s="344"/>
      <c r="AL14" s="33"/>
      <c r="AN14" s="655"/>
    </row>
    <row r="15" spans="2:40" x14ac:dyDescent="0.3">
      <c r="B15" s="33"/>
      <c r="C15" s="127"/>
      <c r="D15" s="127"/>
      <c r="E15" s="127"/>
      <c r="F15" s="128"/>
      <c r="G15" s="129"/>
      <c r="H15" s="667"/>
      <c r="I15" s="130" t="str">
        <f t="shared" si="2"/>
        <v/>
      </c>
      <c r="J15" s="36">
        <f t="shared" si="3"/>
        <v>0</v>
      </c>
      <c r="K15" s="131"/>
      <c r="L15" s="132">
        <f t="shared" si="4"/>
        <v>0</v>
      </c>
      <c r="M15" s="36">
        <f t="shared" si="5"/>
        <v>0</v>
      </c>
      <c r="N15" s="664" t="str">
        <f t="shared" si="6"/>
        <v/>
      </c>
      <c r="O15" s="134"/>
      <c r="P15" s="135">
        <f t="shared" si="7"/>
        <v>0</v>
      </c>
      <c r="R15" s="46"/>
      <c r="S15" s="46" t="str">
        <f t="shared" si="8"/>
        <v/>
      </c>
      <c r="T15" s="656" t="str">
        <f t="shared" si="9"/>
        <v/>
      </c>
      <c r="U15" s="46"/>
      <c r="V15" s="46" t="str">
        <f t="shared" si="10"/>
        <v/>
      </c>
      <c r="W15" s="25"/>
      <c r="X15" s="46" t="str">
        <f t="shared" si="11"/>
        <v/>
      </c>
      <c r="Y15" s="3"/>
      <c r="Z15" s="136" t="str">
        <f t="shared" si="12"/>
        <v/>
      </c>
      <c r="AA15" s="136" t="str">
        <f t="shared" si="13"/>
        <v/>
      </c>
      <c r="AB15" s="664">
        <f t="shared" si="14"/>
        <v>0</v>
      </c>
      <c r="AC15" s="55"/>
      <c r="AD15" s="136" t="str">
        <f t="shared" si="1"/>
        <v/>
      </c>
      <c r="AE15" s="137" t="str">
        <f t="shared" si="15"/>
        <v/>
      </c>
      <c r="AF15" s="133" t="str">
        <f t="shared" si="16"/>
        <v/>
      </c>
      <c r="AG15" s="133" t="str">
        <f t="shared" si="17"/>
        <v/>
      </c>
      <c r="AH15" s="133" t="str">
        <f t="shared" si="18"/>
        <v/>
      </c>
      <c r="AI15" s="133" t="str">
        <f t="shared" si="19"/>
        <v/>
      </c>
      <c r="AJ15" s="133" t="str">
        <f t="shared" si="20"/>
        <v/>
      </c>
      <c r="AK15" s="344"/>
      <c r="AL15" s="33"/>
      <c r="AN15" s="655"/>
    </row>
    <row r="16" spans="2:40" x14ac:dyDescent="0.3">
      <c r="B16" s="33"/>
      <c r="C16" s="127"/>
      <c r="D16" s="127"/>
      <c r="E16" s="127"/>
      <c r="F16" s="128"/>
      <c r="G16" s="129"/>
      <c r="H16" s="667"/>
      <c r="I16" s="130" t="str">
        <f t="shared" si="2"/>
        <v/>
      </c>
      <c r="J16" s="36">
        <f t="shared" si="3"/>
        <v>0</v>
      </c>
      <c r="K16" s="131"/>
      <c r="L16" s="132">
        <f t="shared" si="4"/>
        <v>0</v>
      </c>
      <c r="M16" s="36">
        <f t="shared" si="5"/>
        <v>0</v>
      </c>
      <c r="N16" s="664" t="str">
        <f t="shared" si="6"/>
        <v/>
      </c>
      <c r="O16" s="134"/>
      <c r="P16" s="135">
        <f t="shared" si="7"/>
        <v>0</v>
      </c>
      <c r="R16" s="46"/>
      <c r="S16" s="46" t="str">
        <f t="shared" si="8"/>
        <v/>
      </c>
      <c r="T16" s="656" t="str">
        <f t="shared" si="9"/>
        <v/>
      </c>
      <c r="U16" s="46"/>
      <c r="V16" s="46" t="str">
        <f t="shared" si="10"/>
        <v/>
      </c>
      <c r="W16" s="25"/>
      <c r="X16" s="46" t="str">
        <f t="shared" si="11"/>
        <v/>
      </c>
      <c r="Y16" s="3"/>
      <c r="Z16" s="136" t="str">
        <f t="shared" si="12"/>
        <v/>
      </c>
      <c r="AA16" s="136" t="str">
        <f t="shared" si="13"/>
        <v/>
      </c>
      <c r="AB16" s="664">
        <f t="shared" si="14"/>
        <v>0</v>
      </c>
      <c r="AC16" s="55"/>
      <c r="AD16" s="136" t="str">
        <f t="shared" si="1"/>
        <v/>
      </c>
      <c r="AE16" s="137" t="str">
        <f t="shared" si="15"/>
        <v/>
      </c>
      <c r="AF16" s="133" t="str">
        <f t="shared" si="16"/>
        <v/>
      </c>
      <c r="AG16" s="133" t="str">
        <f t="shared" si="17"/>
        <v/>
      </c>
      <c r="AH16" s="133" t="str">
        <f t="shared" si="18"/>
        <v/>
      </c>
      <c r="AI16" s="133" t="str">
        <f t="shared" si="19"/>
        <v/>
      </c>
      <c r="AJ16" s="133" t="str">
        <f t="shared" si="20"/>
        <v/>
      </c>
      <c r="AK16" s="344"/>
      <c r="AL16" s="33"/>
      <c r="AN16" s="655"/>
    </row>
    <row r="17" spans="2:40" x14ac:dyDescent="0.3">
      <c r="B17" s="33"/>
      <c r="C17" s="127"/>
      <c r="D17" s="127"/>
      <c r="E17" s="127"/>
      <c r="F17" s="128"/>
      <c r="G17" s="129"/>
      <c r="H17" s="667"/>
      <c r="I17" s="130" t="str">
        <f t="shared" si="2"/>
        <v/>
      </c>
      <c r="J17" s="36">
        <f t="shared" si="3"/>
        <v>0</v>
      </c>
      <c r="K17" s="131"/>
      <c r="L17" s="132">
        <f t="shared" si="4"/>
        <v>0</v>
      </c>
      <c r="M17" s="36">
        <f t="shared" si="5"/>
        <v>0</v>
      </c>
      <c r="N17" s="664" t="str">
        <f t="shared" si="6"/>
        <v/>
      </c>
      <c r="O17" s="134"/>
      <c r="P17" s="135">
        <f t="shared" si="7"/>
        <v>0</v>
      </c>
      <c r="R17" s="46"/>
      <c r="S17" s="46" t="str">
        <f t="shared" si="8"/>
        <v/>
      </c>
      <c r="T17" s="656" t="str">
        <f t="shared" si="9"/>
        <v/>
      </c>
      <c r="U17" s="46"/>
      <c r="V17" s="46" t="str">
        <f t="shared" si="10"/>
        <v/>
      </c>
      <c r="W17" s="25"/>
      <c r="X17" s="46" t="str">
        <f t="shared" si="11"/>
        <v/>
      </c>
      <c r="Y17" s="3"/>
      <c r="Z17" s="136" t="str">
        <f t="shared" si="12"/>
        <v/>
      </c>
      <c r="AA17" s="136" t="str">
        <f t="shared" si="13"/>
        <v/>
      </c>
      <c r="AB17" s="664">
        <f t="shared" si="14"/>
        <v>0</v>
      </c>
      <c r="AC17" s="55"/>
      <c r="AD17" s="136" t="str">
        <f t="shared" si="1"/>
        <v/>
      </c>
      <c r="AE17" s="137" t="str">
        <f t="shared" si="15"/>
        <v/>
      </c>
      <c r="AF17" s="133" t="str">
        <f t="shared" si="16"/>
        <v/>
      </c>
      <c r="AG17" s="133" t="str">
        <f t="shared" si="17"/>
        <v/>
      </c>
      <c r="AH17" s="133" t="str">
        <f t="shared" si="18"/>
        <v/>
      </c>
      <c r="AI17" s="133" t="str">
        <f t="shared" si="19"/>
        <v/>
      </c>
      <c r="AJ17" s="133" t="str">
        <f t="shared" si="20"/>
        <v/>
      </c>
      <c r="AK17" s="344"/>
      <c r="AL17" s="33"/>
      <c r="AN17" s="655"/>
    </row>
    <row r="18" spans="2:40" x14ac:dyDescent="0.3">
      <c r="B18" s="33"/>
      <c r="C18" s="127"/>
      <c r="D18" s="127"/>
      <c r="E18" s="127"/>
      <c r="F18" s="128"/>
      <c r="G18" s="129"/>
      <c r="H18" s="667"/>
      <c r="I18" s="130" t="str">
        <f t="shared" si="2"/>
        <v/>
      </c>
      <c r="J18" s="36">
        <f t="shared" si="3"/>
        <v>0</v>
      </c>
      <c r="K18" s="131"/>
      <c r="L18" s="132">
        <f t="shared" si="4"/>
        <v>0</v>
      </c>
      <c r="M18" s="36">
        <f t="shared" si="5"/>
        <v>0</v>
      </c>
      <c r="N18" s="664" t="str">
        <f t="shared" si="6"/>
        <v/>
      </c>
      <c r="O18" s="134"/>
      <c r="P18" s="135">
        <f t="shared" si="7"/>
        <v>0</v>
      </c>
      <c r="R18" s="46"/>
      <c r="S18" s="46" t="str">
        <f t="shared" si="8"/>
        <v/>
      </c>
      <c r="T18" s="656" t="str">
        <f t="shared" si="9"/>
        <v/>
      </c>
      <c r="U18" s="46"/>
      <c r="V18" s="46" t="str">
        <f t="shared" si="10"/>
        <v/>
      </c>
      <c r="W18" s="25"/>
      <c r="X18" s="46" t="str">
        <f t="shared" si="11"/>
        <v/>
      </c>
      <c r="Y18" s="3"/>
      <c r="Z18" s="136" t="str">
        <f t="shared" si="12"/>
        <v/>
      </c>
      <c r="AA18" s="136" t="str">
        <f t="shared" si="13"/>
        <v/>
      </c>
      <c r="AB18" s="664">
        <f t="shared" si="14"/>
        <v>0</v>
      </c>
      <c r="AC18" s="55"/>
      <c r="AD18" s="136" t="str">
        <f t="shared" si="1"/>
        <v/>
      </c>
      <c r="AE18" s="137" t="str">
        <f t="shared" si="15"/>
        <v/>
      </c>
      <c r="AF18" s="133" t="str">
        <f t="shared" si="16"/>
        <v/>
      </c>
      <c r="AG18" s="133" t="str">
        <f t="shared" si="17"/>
        <v/>
      </c>
      <c r="AH18" s="133" t="str">
        <f t="shared" si="18"/>
        <v/>
      </c>
      <c r="AI18" s="133" t="str">
        <f t="shared" si="19"/>
        <v/>
      </c>
      <c r="AJ18" s="133" t="str">
        <f t="shared" si="20"/>
        <v/>
      </c>
      <c r="AK18" s="344"/>
      <c r="AL18" s="33"/>
      <c r="AN18" s="655"/>
    </row>
    <row r="19" spans="2:40" x14ac:dyDescent="0.3">
      <c r="B19" s="33"/>
      <c r="C19" s="127"/>
      <c r="D19" s="127"/>
      <c r="E19" s="127"/>
      <c r="F19" s="128"/>
      <c r="G19" s="129"/>
      <c r="H19" s="667"/>
      <c r="I19" s="130" t="str">
        <f t="shared" si="2"/>
        <v/>
      </c>
      <c r="J19" s="36">
        <f t="shared" si="3"/>
        <v>0</v>
      </c>
      <c r="K19" s="131"/>
      <c r="L19" s="132">
        <f t="shared" si="4"/>
        <v>0</v>
      </c>
      <c r="M19" s="36">
        <f t="shared" si="5"/>
        <v>0</v>
      </c>
      <c r="N19" s="664" t="str">
        <f t="shared" si="6"/>
        <v/>
      </c>
      <c r="O19" s="134"/>
      <c r="P19" s="135">
        <f t="shared" si="7"/>
        <v>0</v>
      </c>
      <c r="R19" s="46"/>
      <c r="S19" s="46" t="str">
        <f t="shared" si="8"/>
        <v/>
      </c>
      <c r="T19" s="656" t="str">
        <f t="shared" si="9"/>
        <v/>
      </c>
      <c r="U19" s="46"/>
      <c r="V19" s="46" t="str">
        <f t="shared" si="10"/>
        <v/>
      </c>
      <c r="W19" s="25"/>
      <c r="X19" s="46" t="str">
        <f t="shared" si="11"/>
        <v/>
      </c>
      <c r="Y19" s="3"/>
      <c r="Z19" s="136" t="str">
        <f t="shared" si="12"/>
        <v/>
      </c>
      <c r="AA19" s="136" t="str">
        <f t="shared" si="13"/>
        <v/>
      </c>
      <c r="AB19" s="664">
        <f t="shared" si="14"/>
        <v>0</v>
      </c>
      <c r="AC19" s="55"/>
      <c r="AD19" s="136" t="str">
        <f t="shared" si="1"/>
        <v/>
      </c>
      <c r="AE19" s="137" t="str">
        <f t="shared" si="15"/>
        <v/>
      </c>
      <c r="AF19" s="133" t="str">
        <f t="shared" si="16"/>
        <v/>
      </c>
      <c r="AG19" s="133" t="str">
        <f t="shared" si="17"/>
        <v/>
      </c>
      <c r="AH19" s="133" t="str">
        <f t="shared" si="18"/>
        <v/>
      </c>
      <c r="AI19" s="133" t="str">
        <f t="shared" si="19"/>
        <v/>
      </c>
      <c r="AJ19" s="133" t="str">
        <f t="shared" si="20"/>
        <v/>
      </c>
      <c r="AK19" s="344"/>
      <c r="AL19" s="33"/>
      <c r="AN19" s="655"/>
    </row>
    <row r="20" spans="2:40" x14ac:dyDescent="0.3">
      <c r="B20" s="33"/>
      <c r="C20" s="127"/>
      <c r="D20" s="127"/>
      <c r="E20" s="127"/>
      <c r="F20" s="128"/>
      <c r="G20" s="129"/>
      <c r="H20" s="667"/>
      <c r="I20" s="130" t="str">
        <f t="shared" si="2"/>
        <v/>
      </c>
      <c r="J20" s="36">
        <f t="shared" si="3"/>
        <v>0</v>
      </c>
      <c r="K20" s="131"/>
      <c r="L20" s="132">
        <f t="shared" si="4"/>
        <v>0</v>
      </c>
      <c r="M20" s="36">
        <f t="shared" si="5"/>
        <v>0</v>
      </c>
      <c r="N20" s="664" t="str">
        <f t="shared" si="6"/>
        <v/>
      </c>
      <c r="O20" s="134"/>
      <c r="P20" s="135">
        <f t="shared" si="7"/>
        <v>0</v>
      </c>
      <c r="R20" s="46"/>
      <c r="S20" s="46" t="str">
        <f t="shared" si="8"/>
        <v/>
      </c>
      <c r="T20" s="656" t="str">
        <f t="shared" si="9"/>
        <v/>
      </c>
      <c r="U20" s="46"/>
      <c r="V20" s="46" t="str">
        <f t="shared" si="10"/>
        <v/>
      </c>
      <c r="W20" s="25"/>
      <c r="X20" s="46" t="str">
        <f t="shared" si="11"/>
        <v/>
      </c>
      <c r="Y20" s="3"/>
      <c r="Z20" s="136" t="str">
        <f t="shared" si="12"/>
        <v/>
      </c>
      <c r="AA20" s="136" t="str">
        <f t="shared" si="13"/>
        <v/>
      </c>
      <c r="AB20" s="664">
        <f t="shared" si="14"/>
        <v>0</v>
      </c>
      <c r="AC20" s="55"/>
      <c r="AD20" s="136" t="str">
        <f t="shared" si="1"/>
        <v/>
      </c>
      <c r="AE20" s="137" t="str">
        <f t="shared" si="15"/>
        <v/>
      </c>
      <c r="AF20" s="133" t="str">
        <f t="shared" si="16"/>
        <v/>
      </c>
      <c r="AG20" s="133" t="str">
        <f t="shared" si="17"/>
        <v/>
      </c>
      <c r="AH20" s="133" t="str">
        <f t="shared" si="18"/>
        <v/>
      </c>
      <c r="AI20" s="133" t="str">
        <f t="shared" si="19"/>
        <v/>
      </c>
      <c r="AJ20" s="133" t="str">
        <f t="shared" si="20"/>
        <v/>
      </c>
      <c r="AK20" s="344"/>
      <c r="AL20" s="33"/>
      <c r="AN20" s="655"/>
    </row>
    <row r="21" spans="2:40" x14ac:dyDescent="0.3">
      <c r="B21" s="33"/>
      <c r="C21" s="127"/>
      <c r="D21" s="127"/>
      <c r="E21" s="127"/>
      <c r="F21" s="128"/>
      <c r="G21" s="129"/>
      <c r="H21" s="667"/>
      <c r="I21" s="130" t="str">
        <f t="shared" si="2"/>
        <v/>
      </c>
      <c r="J21" s="36">
        <f t="shared" si="3"/>
        <v>0</v>
      </c>
      <c r="K21" s="131"/>
      <c r="L21" s="132">
        <f t="shared" si="4"/>
        <v>0</v>
      </c>
      <c r="M21" s="36">
        <f t="shared" si="5"/>
        <v>0</v>
      </c>
      <c r="N21" s="664" t="str">
        <f t="shared" si="6"/>
        <v/>
      </c>
      <c r="O21" s="134"/>
      <c r="P21" s="135">
        <f t="shared" si="7"/>
        <v>0</v>
      </c>
      <c r="R21" s="46"/>
      <c r="S21" s="46" t="str">
        <f t="shared" si="8"/>
        <v/>
      </c>
      <c r="T21" s="656" t="str">
        <f t="shared" si="9"/>
        <v/>
      </c>
      <c r="U21" s="46"/>
      <c r="V21" s="46" t="str">
        <f t="shared" si="10"/>
        <v/>
      </c>
      <c r="W21" s="25"/>
      <c r="X21" s="46" t="str">
        <f t="shared" si="11"/>
        <v/>
      </c>
      <c r="Y21" s="3"/>
      <c r="Z21" s="136" t="str">
        <f t="shared" si="12"/>
        <v/>
      </c>
      <c r="AA21" s="136" t="str">
        <f t="shared" si="13"/>
        <v/>
      </c>
      <c r="AB21" s="664">
        <f t="shared" si="14"/>
        <v>0</v>
      </c>
      <c r="AC21" s="55"/>
      <c r="AD21" s="136" t="str">
        <f t="shared" si="1"/>
        <v/>
      </c>
      <c r="AE21" s="137" t="str">
        <f t="shared" si="15"/>
        <v/>
      </c>
      <c r="AF21" s="133" t="str">
        <f t="shared" si="16"/>
        <v/>
      </c>
      <c r="AG21" s="133" t="str">
        <f t="shared" si="17"/>
        <v/>
      </c>
      <c r="AH21" s="133" t="str">
        <f t="shared" si="18"/>
        <v/>
      </c>
      <c r="AI21" s="133" t="str">
        <f t="shared" si="19"/>
        <v/>
      </c>
      <c r="AJ21" s="133" t="str">
        <f t="shared" si="20"/>
        <v/>
      </c>
      <c r="AK21" s="344"/>
      <c r="AL21" s="33"/>
      <c r="AN21" s="655"/>
    </row>
    <row r="22" spans="2:40" x14ac:dyDescent="0.3">
      <c r="B22" s="33"/>
      <c r="C22" s="127"/>
      <c r="D22" s="127"/>
      <c r="E22" s="127"/>
      <c r="F22" s="128"/>
      <c r="G22" s="129"/>
      <c r="H22" s="667"/>
      <c r="I22" s="130" t="str">
        <f t="shared" si="2"/>
        <v/>
      </c>
      <c r="J22" s="36">
        <f t="shared" si="3"/>
        <v>0</v>
      </c>
      <c r="K22" s="131"/>
      <c r="L22" s="132">
        <f t="shared" si="4"/>
        <v>0</v>
      </c>
      <c r="M22" s="36">
        <f t="shared" si="5"/>
        <v>0</v>
      </c>
      <c r="N22" s="664" t="str">
        <f t="shared" si="6"/>
        <v/>
      </c>
      <c r="O22" s="134"/>
      <c r="P22" s="135">
        <f t="shared" si="7"/>
        <v>0</v>
      </c>
      <c r="R22" s="46"/>
      <c r="S22" s="46" t="str">
        <f t="shared" si="8"/>
        <v/>
      </c>
      <c r="T22" s="656" t="str">
        <f t="shared" si="9"/>
        <v/>
      </c>
      <c r="U22" s="46"/>
      <c r="V22" s="46" t="str">
        <f t="shared" si="10"/>
        <v/>
      </c>
      <c r="W22" s="25"/>
      <c r="X22" s="46" t="str">
        <f t="shared" si="11"/>
        <v/>
      </c>
      <c r="Y22" s="3"/>
      <c r="Z22" s="136" t="str">
        <f t="shared" si="12"/>
        <v/>
      </c>
      <c r="AA22" s="136" t="str">
        <f t="shared" si="13"/>
        <v/>
      </c>
      <c r="AB22" s="664">
        <f t="shared" si="14"/>
        <v>0</v>
      </c>
      <c r="AC22" s="55"/>
      <c r="AD22" s="136" t="str">
        <f t="shared" si="1"/>
        <v/>
      </c>
      <c r="AE22" s="137" t="str">
        <f t="shared" si="15"/>
        <v/>
      </c>
      <c r="AF22" s="133" t="str">
        <f t="shared" si="16"/>
        <v/>
      </c>
      <c r="AG22" s="133" t="str">
        <f t="shared" si="17"/>
        <v/>
      </c>
      <c r="AH22" s="133" t="str">
        <f t="shared" si="18"/>
        <v/>
      </c>
      <c r="AI22" s="133" t="str">
        <f t="shared" si="19"/>
        <v/>
      </c>
      <c r="AJ22" s="133" t="str">
        <f t="shared" si="20"/>
        <v/>
      </c>
      <c r="AK22" s="344"/>
      <c r="AL22" s="33"/>
      <c r="AN22" s="655"/>
    </row>
    <row r="23" spans="2:40" x14ac:dyDescent="0.3">
      <c r="B23" s="33"/>
      <c r="C23" s="127"/>
      <c r="D23" s="127"/>
      <c r="E23" s="127"/>
      <c r="F23" s="128"/>
      <c r="G23" s="129"/>
      <c r="H23" s="667"/>
      <c r="I23" s="130" t="str">
        <f t="shared" si="2"/>
        <v/>
      </c>
      <c r="J23" s="36">
        <f t="shared" si="3"/>
        <v>0</v>
      </c>
      <c r="K23" s="131"/>
      <c r="L23" s="132">
        <f t="shared" si="4"/>
        <v>0</v>
      </c>
      <c r="M23" s="36">
        <f t="shared" si="5"/>
        <v>0</v>
      </c>
      <c r="N23" s="664" t="str">
        <f t="shared" si="6"/>
        <v/>
      </c>
      <c r="O23" s="134"/>
      <c r="P23" s="135">
        <f t="shared" si="7"/>
        <v>0</v>
      </c>
      <c r="R23" s="46"/>
      <c r="S23" s="46" t="str">
        <f t="shared" si="8"/>
        <v/>
      </c>
      <c r="T23" s="656" t="str">
        <f t="shared" si="9"/>
        <v/>
      </c>
      <c r="U23" s="46"/>
      <c r="V23" s="46" t="str">
        <f t="shared" si="10"/>
        <v/>
      </c>
      <c r="W23" s="25"/>
      <c r="X23" s="46" t="str">
        <f t="shared" si="11"/>
        <v/>
      </c>
      <c r="Y23" s="3"/>
      <c r="Z23" s="136" t="str">
        <f t="shared" si="12"/>
        <v/>
      </c>
      <c r="AA23" s="136" t="str">
        <f t="shared" si="13"/>
        <v/>
      </c>
      <c r="AB23" s="664">
        <f t="shared" si="14"/>
        <v>0</v>
      </c>
      <c r="AC23" s="55"/>
      <c r="AD23" s="136" t="str">
        <f t="shared" si="1"/>
        <v/>
      </c>
      <c r="AE23" s="137" t="str">
        <f t="shared" si="15"/>
        <v/>
      </c>
      <c r="AF23" s="133" t="str">
        <f t="shared" si="16"/>
        <v/>
      </c>
      <c r="AG23" s="133" t="str">
        <f t="shared" si="17"/>
        <v/>
      </c>
      <c r="AH23" s="133" t="str">
        <f t="shared" si="18"/>
        <v/>
      </c>
      <c r="AI23" s="133" t="str">
        <f t="shared" si="19"/>
        <v/>
      </c>
      <c r="AJ23" s="133" t="str">
        <f t="shared" si="20"/>
        <v/>
      </c>
      <c r="AK23" s="344"/>
      <c r="AL23" s="33"/>
      <c r="AN23" s="655"/>
    </row>
    <row r="24" spans="2:40" x14ac:dyDescent="0.3">
      <c r="B24" s="33"/>
      <c r="C24" s="127"/>
      <c r="D24" s="127"/>
      <c r="E24" s="127"/>
      <c r="F24" s="128"/>
      <c r="G24" s="129"/>
      <c r="H24" s="667"/>
      <c r="I24" s="130" t="str">
        <f t="shared" si="2"/>
        <v/>
      </c>
      <c r="J24" s="36">
        <f t="shared" si="3"/>
        <v>0</v>
      </c>
      <c r="K24" s="131"/>
      <c r="L24" s="132">
        <f t="shared" si="4"/>
        <v>0</v>
      </c>
      <c r="M24" s="36">
        <f t="shared" si="5"/>
        <v>0</v>
      </c>
      <c r="N24" s="664" t="str">
        <f t="shared" si="6"/>
        <v/>
      </c>
      <c r="O24" s="134"/>
      <c r="P24" s="135">
        <f t="shared" si="7"/>
        <v>0</v>
      </c>
      <c r="R24" s="46"/>
      <c r="S24" s="46" t="str">
        <f t="shared" si="8"/>
        <v/>
      </c>
      <c r="T24" s="656" t="str">
        <f t="shared" si="9"/>
        <v/>
      </c>
      <c r="U24" s="46"/>
      <c r="V24" s="46" t="str">
        <f t="shared" si="10"/>
        <v/>
      </c>
      <c r="W24" s="25"/>
      <c r="X24" s="46" t="str">
        <f t="shared" si="11"/>
        <v/>
      </c>
      <c r="Y24" s="3"/>
      <c r="Z24" s="136" t="str">
        <f t="shared" si="12"/>
        <v/>
      </c>
      <c r="AA24" s="136" t="str">
        <f t="shared" si="13"/>
        <v/>
      </c>
      <c r="AB24" s="664">
        <f t="shared" si="14"/>
        <v>0</v>
      </c>
      <c r="AC24" s="55"/>
      <c r="AD24" s="136" t="str">
        <f t="shared" si="1"/>
        <v/>
      </c>
      <c r="AE24" s="137" t="str">
        <f t="shared" si="15"/>
        <v/>
      </c>
      <c r="AF24" s="133" t="str">
        <f t="shared" si="16"/>
        <v/>
      </c>
      <c r="AG24" s="133" t="str">
        <f t="shared" si="17"/>
        <v/>
      </c>
      <c r="AH24" s="133" t="str">
        <f t="shared" si="18"/>
        <v/>
      </c>
      <c r="AI24" s="133" t="str">
        <f t="shared" si="19"/>
        <v/>
      </c>
      <c r="AJ24" s="133" t="str">
        <f t="shared" si="20"/>
        <v/>
      </c>
      <c r="AK24" s="344"/>
      <c r="AL24" s="33"/>
      <c r="AN24" s="655"/>
    </row>
    <row r="25" spans="2:40" x14ac:dyDescent="0.3">
      <c r="B25" s="33"/>
      <c r="C25" s="127"/>
      <c r="D25" s="127"/>
      <c r="E25" s="127"/>
      <c r="F25" s="128"/>
      <c r="G25" s="129"/>
      <c r="H25" s="667"/>
      <c r="I25" s="130" t="str">
        <f t="shared" si="2"/>
        <v/>
      </c>
      <c r="J25" s="36">
        <f t="shared" si="3"/>
        <v>0</v>
      </c>
      <c r="K25" s="131"/>
      <c r="L25" s="132">
        <f t="shared" si="4"/>
        <v>0</v>
      </c>
      <c r="M25" s="36">
        <f t="shared" si="5"/>
        <v>0</v>
      </c>
      <c r="N25" s="664" t="str">
        <f t="shared" si="6"/>
        <v/>
      </c>
      <c r="O25" s="134"/>
      <c r="P25" s="135">
        <f t="shared" si="7"/>
        <v>0</v>
      </c>
      <c r="R25" s="46"/>
      <c r="S25" s="46" t="str">
        <f t="shared" si="8"/>
        <v/>
      </c>
      <c r="T25" s="656" t="str">
        <f t="shared" si="9"/>
        <v/>
      </c>
      <c r="U25" s="46"/>
      <c r="V25" s="46" t="str">
        <f t="shared" si="10"/>
        <v/>
      </c>
      <c r="W25" s="25"/>
      <c r="X25" s="46" t="str">
        <f t="shared" si="11"/>
        <v/>
      </c>
      <c r="Y25" s="3"/>
      <c r="Z25" s="136" t="str">
        <f t="shared" si="12"/>
        <v/>
      </c>
      <c r="AA25" s="136" t="str">
        <f t="shared" si="13"/>
        <v/>
      </c>
      <c r="AB25" s="664">
        <f t="shared" si="14"/>
        <v>0</v>
      </c>
      <c r="AC25" s="55"/>
      <c r="AD25" s="136" t="str">
        <f t="shared" si="1"/>
        <v/>
      </c>
      <c r="AE25" s="137" t="str">
        <f t="shared" si="15"/>
        <v/>
      </c>
      <c r="AF25" s="133" t="str">
        <f t="shared" si="16"/>
        <v/>
      </c>
      <c r="AG25" s="133" t="str">
        <f t="shared" si="17"/>
        <v/>
      </c>
      <c r="AH25" s="133" t="str">
        <f t="shared" si="18"/>
        <v/>
      </c>
      <c r="AI25" s="133" t="str">
        <f t="shared" si="19"/>
        <v/>
      </c>
      <c r="AJ25" s="133" t="str">
        <f t="shared" si="20"/>
        <v/>
      </c>
      <c r="AK25" s="344"/>
      <c r="AL25" s="33"/>
      <c r="AN25" s="655"/>
    </row>
    <row r="26" spans="2:40" x14ac:dyDescent="0.3">
      <c r="B26" s="33"/>
      <c r="C26" s="127"/>
      <c r="D26" s="127"/>
      <c r="E26" s="127"/>
      <c r="F26" s="128"/>
      <c r="G26" s="129"/>
      <c r="H26" s="667"/>
      <c r="I26" s="130" t="str">
        <f t="shared" si="2"/>
        <v/>
      </c>
      <c r="J26" s="36">
        <f t="shared" si="3"/>
        <v>0</v>
      </c>
      <c r="K26" s="131"/>
      <c r="L26" s="132">
        <f t="shared" si="4"/>
        <v>0</v>
      </c>
      <c r="M26" s="36">
        <f t="shared" si="5"/>
        <v>0</v>
      </c>
      <c r="N26" s="664" t="str">
        <f t="shared" si="6"/>
        <v/>
      </c>
      <c r="O26" s="134"/>
      <c r="P26" s="135">
        <f t="shared" si="7"/>
        <v>0</v>
      </c>
      <c r="R26" s="46"/>
      <c r="S26" s="46" t="str">
        <f t="shared" si="8"/>
        <v/>
      </c>
      <c r="T26" s="656" t="str">
        <f t="shared" si="9"/>
        <v/>
      </c>
      <c r="U26" s="46"/>
      <c r="V26" s="46" t="str">
        <f t="shared" si="10"/>
        <v/>
      </c>
      <c r="W26" s="25"/>
      <c r="X26" s="46" t="str">
        <f t="shared" si="11"/>
        <v/>
      </c>
      <c r="Y26" s="3"/>
      <c r="Z26" s="136" t="str">
        <f t="shared" si="12"/>
        <v/>
      </c>
      <c r="AA26" s="136" t="str">
        <f t="shared" si="13"/>
        <v/>
      </c>
      <c r="AB26" s="664">
        <f t="shared" si="14"/>
        <v>0</v>
      </c>
      <c r="AC26" s="55"/>
      <c r="AD26" s="136" t="str">
        <f t="shared" si="1"/>
        <v/>
      </c>
      <c r="AE26" s="137" t="str">
        <f t="shared" si="15"/>
        <v/>
      </c>
      <c r="AF26" s="133" t="str">
        <f t="shared" si="16"/>
        <v/>
      </c>
      <c r="AG26" s="133" t="str">
        <f t="shared" si="17"/>
        <v/>
      </c>
      <c r="AH26" s="133" t="str">
        <f t="shared" si="18"/>
        <v/>
      </c>
      <c r="AI26" s="133" t="str">
        <f t="shared" si="19"/>
        <v/>
      </c>
      <c r="AJ26" s="133" t="str">
        <f t="shared" si="20"/>
        <v/>
      </c>
      <c r="AK26" s="344"/>
      <c r="AL26" s="33"/>
      <c r="AN26" s="655"/>
    </row>
    <row r="27" spans="2:40" x14ac:dyDescent="0.3">
      <c r="B27" s="33"/>
      <c r="C27" s="127"/>
      <c r="D27" s="127"/>
      <c r="E27" s="127"/>
      <c r="F27" s="128"/>
      <c r="G27" s="129"/>
      <c r="H27" s="667"/>
      <c r="I27" s="130" t="str">
        <f t="shared" si="2"/>
        <v/>
      </c>
      <c r="J27" s="36">
        <f t="shared" si="3"/>
        <v>0</v>
      </c>
      <c r="K27" s="131"/>
      <c r="L27" s="132">
        <f t="shared" si="4"/>
        <v>0</v>
      </c>
      <c r="M27" s="36">
        <f t="shared" si="5"/>
        <v>0</v>
      </c>
      <c r="N27" s="664" t="str">
        <f t="shared" si="6"/>
        <v/>
      </c>
      <c r="O27" s="134"/>
      <c r="P27" s="135">
        <f t="shared" si="7"/>
        <v>0</v>
      </c>
      <c r="R27" s="46"/>
      <c r="S27" s="46" t="str">
        <f t="shared" si="8"/>
        <v/>
      </c>
      <c r="T27" s="656" t="str">
        <f t="shared" si="9"/>
        <v/>
      </c>
      <c r="U27" s="46"/>
      <c r="V27" s="46" t="str">
        <f t="shared" si="10"/>
        <v/>
      </c>
      <c r="W27" s="25"/>
      <c r="X27" s="46" t="str">
        <f t="shared" si="11"/>
        <v/>
      </c>
      <c r="Y27" s="3"/>
      <c r="Z27" s="136" t="str">
        <f t="shared" si="12"/>
        <v/>
      </c>
      <c r="AA27" s="136" t="str">
        <f t="shared" si="13"/>
        <v/>
      </c>
      <c r="AB27" s="664">
        <f t="shared" si="14"/>
        <v>0</v>
      </c>
      <c r="AC27" s="55"/>
      <c r="AD27" s="136" t="str">
        <f t="shared" si="1"/>
        <v/>
      </c>
      <c r="AE27" s="137" t="str">
        <f t="shared" si="15"/>
        <v/>
      </c>
      <c r="AF27" s="133" t="str">
        <f t="shared" si="16"/>
        <v/>
      </c>
      <c r="AG27" s="133" t="str">
        <f t="shared" si="17"/>
        <v/>
      </c>
      <c r="AH27" s="133" t="str">
        <f t="shared" si="18"/>
        <v/>
      </c>
      <c r="AI27" s="133" t="str">
        <f t="shared" si="19"/>
        <v/>
      </c>
      <c r="AJ27" s="133" t="str">
        <f t="shared" si="20"/>
        <v/>
      </c>
      <c r="AK27" s="344"/>
      <c r="AL27" s="33"/>
      <c r="AN27" s="655"/>
    </row>
    <row r="28" spans="2:40" x14ac:dyDescent="0.3">
      <c r="B28" s="33"/>
      <c r="C28" s="127"/>
      <c r="D28" s="127"/>
      <c r="E28" s="127"/>
      <c r="F28" s="128"/>
      <c r="G28" s="129"/>
      <c r="H28" s="667"/>
      <c r="I28" s="130" t="str">
        <f t="shared" si="2"/>
        <v/>
      </c>
      <c r="J28" s="36">
        <f t="shared" si="3"/>
        <v>0</v>
      </c>
      <c r="K28" s="131"/>
      <c r="L28" s="132">
        <f t="shared" si="4"/>
        <v>0</v>
      </c>
      <c r="M28" s="36">
        <f t="shared" si="5"/>
        <v>0</v>
      </c>
      <c r="N28" s="664" t="str">
        <f t="shared" si="6"/>
        <v/>
      </c>
      <c r="O28" s="134"/>
      <c r="P28" s="135">
        <f t="shared" si="7"/>
        <v>0</v>
      </c>
      <c r="R28" s="46"/>
      <c r="S28" s="46" t="str">
        <f t="shared" si="8"/>
        <v/>
      </c>
      <c r="T28" s="656" t="str">
        <f t="shared" si="9"/>
        <v/>
      </c>
      <c r="U28" s="46"/>
      <c r="V28" s="46" t="str">
        <f t="shared" si="10"/>
        <v/>
      </c>
      <c r="W28" s="25"/>
      <c r="X28" s="46" t="str">
        <f t="shared" si="11"/>
        <v/>
      </c>
      <c r="Y28" s="3"/>
      <c r="Z28" s="136" t="str">
        <f t="shared" si="12"/>
        <v/>
      </c>
      <c r="AA28" s="136" t="str">
        <f t="shared" si="13"/>
        <v/>
      </c>
      <c r="AB28" s="664">
        <f t="shared" si="14"/>
        <v>0</v>
      </c>
      <c r="AC28" s="55"/>
      <c r="AD28" s="136" t="str">
        <f t="shared" si="1"/>
        <v/>
      </c>
      <c r="AE28" s="137" t="str">
        <f t="shared" si="15"/>
        <v/>
      </c>
      <c r="AF28" s="133" t="str">
        <f t="shared" si="16"/>
        <v/>
      </c>
      <c r="AG28" s="133" t="str">
        <f t="shared" si="17"/>
        <v/>
      </c>
      <c r="AH28" s="133" t="str">
        <f t="shared" si="18"/>
        <v/>
      </c>
      <c r="AI28" s="133" t="str">
        <f t="shared" si="19"/>
        <v/>
      </c>
      <c r="AJ28" s="133" t="str">
        <f t="shared" si="20"/>
        <v/>
      </c>
      <c r="AK28" s="344"/>
      <c r="AL28" s="33"/>
      <c r="AN28" s="655"/>
    </row>
    <row r="29" spans="2:40" x14ac:dyDescent="0.3">
      <c r="B29" s="33"/>
      <c r="C29" s="127"/>
      <c r="D29" s="127"/>
      <c r="E29" s="127"/>
      <c r="F29" s="128"/>
      <c r="G29" s="129"/>
      <c r="H29" s="667"/>
      <c r="I29" s="130" t="str">
        <f t="shared" si="2"/>
        <v/>
      </c>
      <c r="J29" s="36">
        <f t="shared" si="3"/>
        <v>0</v>
      </c>
      <c r="K29" s="131"/>
      <c r="L29" s="132">
        <f t="shared" si="4"/>
        <v>0</v>
      </c>
      <c r="M29" s="36">
        <f t="shared" si="5"/>
        <v>0</v>
      </c>
      <c r="N29" s="664" t="str">
        <f t="shared" si="6"/>
        <v/>
      </c>
      <c r="O29" s="134"/>
      <c r="P29" s="135">
        <f t="shared" si="7"/>
        <v>0</v>
      </c>
      <c r="R29" s="46"/>
      <c r="S29" s="46" t="str">
        <f t="shared" si="8"/>
        <v/>
      </c>
      <c r="T29" s="656" t="str">
        <f t="shared" si="9"/>
        <v/>
      </c>
      <c r="U29" s="46"/>
      <c r="V29" s="46" t="str">
        <f t="shared" si="10"/>
        <v/>
      </c>
      <c r="W29" s="25"/>
      <c r="X29" s="46" t="str">
        <f t="shared" si="11"/>
        <v/>
      </c>
      <c r="Y29" s="3"/>
      <c r="Z29" s="136" t="str">
        <f t="shared" si="12"/>
        <v/>
      </c>
      <c r="AA29" s="136" t="str">
        <f t="shared" si="13"/>
        <v/>
      </c>
      <c r="AB29" s="664">
        <f t="shared" si="14"/>
        <v>0</v>
      </c>
      <c r="AC29" s="55"/>
      <c r="AD29" s="136" t="str">
        <f t="shared" si="1"/>
        <v/>
      </c>
      <c r="AE29" s="137" t="str">
        <f t="shared" si="15"/>
        <v/>
      </c>
      <c r="AF29" s="133" t="str">
        <f t="shared" si="16"/>
        <v/>
      </c>
      <c r="AG29" s="133" t="str">
        <f t="shared" si="17"/>
        <v/>
      </c>
      <c r="AH29" s="133" t="str">
        <f t="shared" si="18"/>
        <v/>
      </c>
      <c r="AI29" s="133" t="str">
        <f t="shared" si="19"/>
        <v/>
      </c>
      <c r="AJ29" s="133" t="str">
        <f t="shared" si="20"/>
        <v/>
      </c>
      <c r="AK29" s="344"/>
      <c r="AL29" s="33"/>
      <c r="AN29" s="655"/>
    </row>
    <row r="30" spans="2:40" x14ac:dyDescent="0.3">
      <c r="B30" s="33"/>
      <c r="C30" s="127"/>
      <c r="D30" s="127"/>
      <c r="E30" s="127"/>
      <c r="F30" s="128"/>
      <c r="G30" s="129"/>
      <c r="H30" s="667"/>
      <c r="I30" s="130" t="str">
        <f t="shared" si="2"/>
        <v/>
      </c>
      <c r="J30" s="36">
        <f t="shared" si="3"/>
        <v>0</v>
      </c>
      <c r="K30" s="131"/>
      <c r="L30" s="132">
        <f t="shared" si="4"/>
        <v>0</v>
      </c>
      <c r="M30" s="36">
        <f t="shared" si="5"/>
        <v>0</v>
      </c>
      <c r="N30" s="664" t="str">
        <f t="shared" si="6"/>
        <v/>
      </c>
      <c r="O30" s="134"/>
      <c r="P30" s="135">
        <f t="shared" si="7"/>
        <v>0</v>
      </c>
      <c r="R30" s="46"/>
      <c r="S30" s="46" t="str">
        <f t="shared" si="8"/>
        <v/>
      </c>
      <c r="T30" s="656" t="str">
        <f t="shared" si="9"/>
        <v/>
      </c>
      <c r="U30" s="46"/>
      <c r="V30" s="46" t="str">
        <f t="shared" si="10"/>
        <v/>
      </c>
      <c r="W30" s="25"/>
      <c r="X30" s="46" t="str">
        <f t="shared" si="11"/>
        <v/>
      </c>
      <c r="Y30" s="3"/>
      <c r="Z30" s="136" t="str">
        <f t="shared" si="12"/>
        <v/>
      </c>
      <c r="AA30" s="136" t="str">
        <f t="shared" si="13"/>
        <v/>
      </c>
      <c r="AB30" s="664">
        <f t="shared" si="14"/>
        <v>0</v>
      </c>
      <c r="AC30" s="55"/>
      <c r="AD30" s="136" t="str">
        <f t="shared" si="1"/>
        <v/>
      </c>
      <c r="AE30" s="137" t="str">
        <f t="shared" si="15"/>
        <v/>
      </c>
      <c r="AF30" s="133" t="str">
        <f t="shared" si="16"/>
        <v/>
      </c>
      <c r="AG30" s="133" t="str">
        <f t="shared" si="17"/>
        <v/>
      </c>
      <c r="AH30" s="133" t="str">
        <f t="shared" si="18"/>
        <v/>
      </c>
      <c r="AI30" s="133" t="str">
        <f t="shared" si="19"/>
        <v/>
      </c>
      <c r="AJ30" s="133" t="str">
        <f t="shared" si="20"/>
        <v/>
      </c>
      <c r="AK30" s="344"/>
      <c r="AL30" s="33"/>
      <c r="AN30" s="655"/>
    </row>
    <row r="31" spans="2:40" x14ac:dyDescent="0.3">
      <c r="C31" s="734" t="s">
        <v>18</v>
      </c>
      <c r="D31" s="735"/>
      <c r="E31" s="138">
        <f>SUM(E4:E30)</f>
        <v>0</v>
      </c>
      <c r="F31" s="139" t="e">
        <f>SUMPRODUCT(F4:F30,E4:E30)/E31</f>
        <v>#DIV/0!</v>
      </c>
      <c r="G31" s="140" t="str">
        <f>IFERROR(J31/F31,"")</f>
        <v/>
      </c>
      <c r="H31" s="138">
        <f>SUM(H4:H30)</f>
        <v>0</v>
      </c>
      <c r="I31" s="141">
        <f>IFERROR(SUMPRODUCT(I4:I30,E4:E30)/E31,0)</f>
        <v>0</v>
      </c>
      <c r="J31" s="142" t="e">
        <f>+SUMPRODUCT(E4:E30,J4:J30)/E31</f>
        <v>#DIV/0!</v>
      </c>
      <c r="K31" s="143">
        <f>IFERROR(SUMPRODUCT(E4:E30,K4:K30)/E31,0)</f>
        <v>0</v>
      </c>
      <c r="L31" s="140" t="e">
        <f>+SUMPRODUCT(E4:E30,L4:L30)/E31</f>
        <v>#DIV/0!</v>
      </c>
      <c r="M31" s="710" t="e">
        <f>+SUMPRODUCT(E4:E30,M4:M30)/E31</f>
        <v>#DIV/0!</v>
      </c>
      <c r="N31" s="666">
        <f>IFERROR(M31/F31,0)</f>
        <v>0</v>
      </c>
      <c r="O31" s="144"/>
      <c r="P31" s="142">
        <f>+SUM(P4:P30)</f>
        <v>0</v>
      </c>
      <c r="R31" s="145">
        <f>IFERROR(SUMPRODUCT(R4:R30,E4:E30)/SUM(E4:E30),0)</f>
        <v>0</v>
      </c>
      <c r="S31" s="145">
        <f>IFERROR(SUMPRODUCT(R4:R30,E4:E30)/SUMPRODUCT(E4:E30,F4:F30),0)</f>
        <v>0</v>
      </c>
      <c r="T31" s="668">
        <f>IFERROR(SUMPRODUCT(H4:H30,T4:T30)/H31,0)</f>
        <v>0</v>
      </c>
      <c r="U31" s="665">
        <f>IFERROR(SUMPRODUCT(U4:U30,H4:H30)/SUM(H4:H30),0)</f>
        <v>0</v>
      </c>
      <c r="V31" s="145">
        <f>IFERROR(SUMPRODUCT(U4:U30,H4:H30)/SUMPRODUCT(H4:H30,F4:F30),0)</f>
        <v>0</v>
      </c>
      <c r="W31" s="146"/>
      <c r="X31" s="145">
        <f>SUM(X4:X30)</f>
        <v>0</v>
      </c>
      <c r="Y31" s="3"/>
      <c r="Z31" s="147">
        <f>IFERROR((P31-X31)/X31,0)</f>
        <v>0</v>
      </c>
      <c r="AA31" s="147">
        <f>IFERROR((M31-U31)/U31,0)</f>
        <v>0</v>
      </c>
      <c r="AB31" s="666">
        <f>IFERROR(SUMPRODUCT(E4:E30,AB4:AB30)/E31,0)</f>
        <v>0</v>
      </c>
      <c r="AD31" s="148">
        <f t="shared" ref="AD31:AJ31" si="21">SUM(AD4:AD30)</f>
        <v>0</v>
      </c>
      <c r="AE31" s="149">
        <f t="shared" si="21"/>
        <v>0</v>
      </c>
      <c r="AF31" s="150">
        <f t="shared" si="21"/>
        <v>0</v>
      </c>
      <c r="AG31" s="150">
        <f t="shared" si="21"/>
        <v>0</v>
      </c>
      <c r="AH31" s="150">
        <f t="shared" si="21"/>
        <v>0</v>
      </c>
      <c r="AI31" s="150">
        <f t="shared" si="21"/>
        <v>0</v>
      </c>
      <c r="AJ31" s="150">
        <f t="shared" si="21"/>
        <v>0</v>
      </c>
      <c r="AK31" s="344"/>
      <c r="AL31" s="33"/>
    </row>
    <row r="32" spans="2:40" x14ac:dyDescent="0.3">
      <c r="D32" s="55"/>
      <c r="E32" s="55"/>
      <c r="F32" s="55"/>
      <c r="G32" s="33"/>
      <c r="H32" s="33"/>
      <c r="I32" s="55"/>
      <c r="J32" s="55"/>
      <c r="K32" s="55"/>
      <c r="L32" s="151"/>
      <c r="M32" s="711"/>
      <c r="N32" s="55"/>
      <c r="O32" s="55"/>
      <c r="P32" s="151"/>
      <c r="R32" s="33"/>
      <c r="S32" s="33"/>
      <c r="T32" s="33"/>
      <c r="U32" s="3"/>
      <c r="V32" s="3"/>
      <c r="W32" s="3"/>
      <c r="X32" s="3"/>
      <c r="Y32" s="3"/>
      <c r="Z32" s="3"/>
      <c r="AA32" s="3"/>
      <c r="AB32" s="655"/>
      <c r="AI32" s="33"/>
    </row>
    <row r="33" spans="4:33" x14ac:dyDescent="0.3">
      <c r="E33" s="55"/>
      <c r="F33" s="55"/>
      <c r="G33" s="33"/>
      <c r="H33" s="33"/>
      <c r="L33" s="344"/>
      <c r="R33" s="33"/>
      <c r="S33" s="33"/>
      <c r="T33" s="33"/>
      <c r="U33" s="3"/>
      <c r="V33" s="152"/>
      <c r="W33" s="3"/>
      <c r="X33" s="3"/>
      <c r="Y33" s="3"/>
      <c r="Z33" s="3"/>
      <c r="AA33" s="3"/>
      <c r="AG33" s="33"/>
    </row>
    <row r="34" spans="4:33" x14ac:dyDescent="0.3">
      <c r="D34" s="55"/>
      <c r="E34" s="55"/>
      <c r="F34" s="55"/>
      <c r="G34" s="652"/>
      <c r="H34" s="652"/>
      <c r="I34" s="653"/>
      <c r="J34" s="151"/>
      <c r="K34" s="151"/>
      <c r="L34" s="33"/>
      <c r="M34" s="151"/>
      <c r="N34" s="55"/>
      <c r="O34" s="55"/>
      <c r="P34" s="55"/>
      <c r="R34" s="33"/>
      <c r="S34" s="33"/>
      <c r="T34" s="33"/>
      <c r="U34" s="3"/>
      <c r="V34" s="3"/>
      <c r="W34" s="3"/>
      <c r="X34" s="3"/>
      <c r="Y34" s="3"/>
      <c r="Z34" s="3"/>
      <c r="AA34" s="3"/>
      <c r="AD34" s="33"/>
      <c r="AE34" s="33"/>
      <c r="AF34" s="33"/>
      <c r="AG34" s="33"/>
    </row>
    <row r="35" spans="4:33" x14ac:dyDescent="0.3">
      <c r="D35" s="55"/>
      <c r="E35" s="55"/>
      <c r="F35" s="55"/>
      <c r="G35" s="654"/>
      <c r="H35" s="654"/>
      <c r="I35" s="654"/>
      <c r="J35" s="654"/>
      <c r="K35" s="654"/>
      <c r="L35" s="33"/>
      <c r="M35" s="151"/>
      <c r="N35" s="55"/>
      <c r="O35" s="55"/>
      <c r="P35" s="55"/>
      <c r="R35" s="33"/>
      <c r="S35" s="33"/>
      <c r="T35" s="33"/>
      <c r="U35" s="33"/>
      <c r="V35" s="3"/>
      <c r="W35" s="3"/>
      <c r="X35" s="3"/>
      <c r="Y35" s="3"/>
      <c r="Z35" s="3"/>
      <c r="AA35" s="3"/>
      <c r="AD35" s="33"/>
      <c r="AE35" s="33"/>
      <c r="AF35" s="33"/>
      <c r="AG35" s="33"/>
    </row>
    <row r="36" spans="4:33" x14ac:dyDescent="0.3">
      <c r="E36" s="55"/>
      <c r="F36" s="55"/>
      <c r="G36" s="652"/>
      <c r="H36" s="652"/>
      <c r="I36" s="653"/>
      <c r="J36" s="151"/>
      <c r="K36" s="151"/>
      <c r="L36" s="33"/>
      <c r="M36" s="151"/>
      <c r="N36" s="152"/>
      <c r="P36" s="151"/>
      <c r="R36" s="33"/>
      <c r="S36" s="33"/>
      <c r="T36" s="33"/>
      <c r="U36" s="3"/>
      <c r="V36" s="3"/>
      <c r="W36" s="3"/>
      <c r="X36" s="3"/>
      <c r="Y36" s="3"/>
      <c r="Z36" s="3"/>
      <c r="AA36" s="3"/>
      <c r="AD36" s="33"/>
      <c r="AE36" s="33"/>
      <c r="AF36" s="33"/>
      <c r="AG36" s="33"/>
    </row>
    <row r="37" spans="4:33" x14ac:dyDescent="0.3">
      <c r="E37" s="55"/>
      <c r="F37" s="55"/>
      <c r="G37" s="652"/>
      <c r="H37" s="652"/>
      <c r="I37" s="653"/>
      <c r="J37" s="151"/>
      <c r="K37" s="151"/>
      <c r="L37" s="33"/>
      <c r="M37" s="151"/>
      <c r="N37" s="33"/>
      <c r="P37" s="55"/>
      <c r="R37" s="33"/>
      <c r="S37" s="33"/>
      <c r="T37" s="33"/>
      <c r="U37" s="3"/>
      <c r="V37" s="3"/>
      <c r="W37" s="3"/>
      <c r="X37" s="3"/>
      <c r="Y37" s="3"/>
      <c r="Z37" s="3"/>
      <c r="AA37" s="3"/>
      <c r="AD37" s="33"/>
      <c r="AE37" s="33"/>
      <c r="AF37" s="33"/>
      <c r="AG37" s="33"/>
    </row>
    <row r="38" spans="4:33" x14ac:dyDescent="0.3">
      <c r="E38" s="55"/>
      <c r="F38" s="55"/>
      <c r="G38" s="652"/>
      <c r="H38" s="652"/>
      <c r="I38" s="653"/>
      <c r="J38" s="151"/>
      <c r="K38" s="151"/>
      <c r="L38" s="33"/>
      <c r="M38" s="151"/>
      <c r="N38" s="33"/>
      <c r="P38" s="55"/>
      <c r="R38" s="33"/>
      <c r="S38" s="33"/>
      <c r="T38" s="33"/>
      <c r="U38" s="3"/>
      <c r="V38" s="3"/>
      <c r="W38" s="3"/>
      <c r="X38" s="3"/>
      <c r="Y38" s="3"/>
      <c r="Z38" s="3"/>
      <c r="AA38" s="3"/>
      <c r="AD38" s="33"/>
      <c r="AE38" s="33"/>
      <c r="AF38" s="33"/>
      <c r="AG38" s="33"/>
    </row>
    <row r="39" spans="4:33" x14ac:dyDescent="0.3">
      <c r="E39" s="55"/>
      <c r="F39" s="55"/>
      <c r="G39" s="652"/>
      <c r="H39" s="652"/>
      <c r="I39" s="653"/>
      <c r="J39" s="151"/>
      <c r="K39" s="151"/>
      <c r="L39" s="33"/>
      <c r="M39" s="151"/>
      <c r="N39" s="33"/>
      <c r="P39" s="55"/>
      <c r="R39" s="33"/>
      <c r="S39" s="33"/>
      <c r="T39" s="33"/>
      <c r="U39" s="3"/>
      <c r="V39" s="3"/>
      <c r="W39" s="3"/>
      <c r="X39" s="3"/>
      <c r="Y39" s="3"/>
      <c r="Z39" s="3"/>
      <c r="AA39" s="3"/>
      <c r="AD39" s="33"/>
      <c r="AE39" s="33"/>
      <c r="AF39" s="33"/>
      <c r="AG39" s="33"/>
    </row>
    <row r="40" spans="4:33" x14ac:dyDescent="0.3">
      <c r="E40" s="55"/>
      <c r="F40" s="55"/>
      <c r="G40" s="652"/>
      <c r="H40" s="652"/>
      <c r="I40" s="653"/>
      <c r="J40" s="151"/>
      <c r="K40" s="151"/>
      <c r="L40" s="33"/>
      <c r="M40" s="151"/>
      <c r="N40" s="33"/>
      <c r="P40" s="55"/>
      <c r="R40" s="33"/>
      <c r="S40" s="33"/>
      <c r="T40" s="33"/>
      <c r="U40" s="3"/>
      <c r="V40" s="3"/>
      <c r="W40" s="3"/>
      <c r="X40" s="3"/>
      <c r="Y40" s="3"/>
      <c r="Z40" s="3"/>
      <c r="AA40" s="3"/>
      <c r="AD40" s="33"/>
      <c r="AE40" s="33"/>
      <c r="AF40" s="33"/>
      <c r="AG40" s="33"/>
    </row>
    <row r="41" spans="4:33" x14ac:dyDescent="0.3">
      <c r="E41" s="55"/>
      <c r="F41" s="55"/>
      <c r="G41" s="652"/>
      <c r="H41" s="652"/>
      <c r="I41" s="653"/>
      <c r="J41" s="151"/>
      <c r="K41" s="151"/>
      <c r="L41" s="33"/>
      <c r="M41" s="151"/>
      <c r="N41" s="33"/>
      <c r="P41" s="55"/>
      <c r="R41" s="33"/>
      <c r="S41" s="33"/>
      <c r="T41" s="33"/>
      <c r="U41" s="3"/>
      <c r="V41" s="3"/>
      <c r="W41" s="3"/>
      <c r="X41" s="3"/>
      <c r="Y41" s="3"/>
      <c r="Z41" s="3"/>
      <c r="AA41" s="3"/>
      <c r="AD41" s="33"/>
      <c r="AG41" s="33"/>
    </row>
    <row r="42" spans="4:33" x14ac:dyDescent="0.3">
      <c r="E42" s="55"/>
      <c r="F42" s="55"/>
      <c r="G42" s="652"/>
      <c r="H42" s="652"/>
      <c r="I42" s="653"/>
      <c r="J42" s="151"/>
      <c r="K42" s="151"/>
      <c r="L42" s="33"/>
      <c r="M42" s="151"/>
      <c r="N42" s="33"/>
      <c r="P42" s="55"/>
      <c r="R42" s="33"/>
      <c r="S42" s="33"/>
      <c r="T42" s="33"/>
      <c r="U42" s="3"/>
      <c r="V42" s="3"/>
      <c r="W42" s="3"/>
      <c r="X42" s="3"/>
      <c r="Y42" s="3"/>
      <c r="Z42" s="3"/>
      <c r="AA42" s="3"/>
      <c r="AD42" s="33"/>
      <c r="AG42" s="33"/>
    </row>
    <row r="43" spans="4:33" x14ac:dyDescent="0.3">
      <c r="E43" s="33"/>
      <c r="F43" s="55"/>
      <c r="G43" s="653"/>
      <c r="H43" s="653"/>
      <c r="I43" s="653"/>
      <c r="J43" s="151"/>
      <c r="K43" s="151"/>
      <c r="L43" s="33"/>
      <c r="M43" s="151"/>
      <c r="N43" s="33"/>
      <c r="P43" s="55"/>
      <c r="R43" s="33"/>
      <c r="S43" s="33"/>
      <c r="T43" s="33"/>
      <c r="U43" s="3"/>
      <c r="V43" s="3"/>
      <c r="W43" s="3"/>
      <c r="X43" s="3"/>
      <c r="Y43" s="3"/>
      <c r="Z43" s="3"/>
      <c r="AA43" s="3"/>
      <c r="AD43" s="33"/>
      <c r="AG43" s="33"/>
    </row>
    <row r="44" spans="4:33" x14ac:dyDescent="0.3">
      <c r="E44" s="33"/>
      <c r="F44" s="55"/>
      <c r="G44" s="654"/>
      <c r="H44" s="654"/>
      <c r="I44" s="344"/>
      <c r="J44" s="151"/>
      <c r="K44" s="151"/>
      <c r="L44" s="33"/>
      <c r="M44" s="151"/>
      <c r="N44" s="33"/>
      <c r="P44" s="55"/>
      <c r="R44" s="121"/>
      <c r="S44" s="33"/>
      <c r="T44" s="33"/>
      <c r="U44" s="3"/>
      <c r="V44" s="3"/>
      <c r="W44" s="3"/>
      <c r="X44" s="3"/>
      <c r="Y44" s="3"/>
      <c r="Z44" s="3"/>
      <c r="AA44" s="3"/>
      <c r="AD44" s="33"/>
      <c r="AG44" s="33"/>
    </row>
    <row r="45" spans="4:33" x14ac:dyDescent="0.3">
      <c r="E45" s="33"/>
      <c r="F45" s="55"/>
      <c r="G45" s="33"/>
      <c r="H45" s="33"/>
      <c r="J45" s="151"/>
      <c r="K45" s="151"/>
      <c r="M45" s="154"/>
      <c r="N45" s="33"/>
      <c r="P45" s="33"/>
      <c r="R45" s="121"/>
      <c r="S45" s="33"/>
      <c r="T45" s="33"/>
      <c r="U45" s="3"/>
      <c r="V45" s="3"/>
      <c r="W45" s="3"/>
      <c r="X45" s="3"/>
      <c r="Y45" s="3"/>
      <c r="Z45" s="3"/>
      <c r="AA45" s="3"/>
      <c r="AD45" s="33"/>
    </row>
    <row r="46" spans="4:33" x14ac:dyDescent="0.3">
      <c r="I46" s="155"/>
      <c r="J46" s="151"/>
      <c r="K46" s="151"/>
      <c r="L46" s="33"/>
      <c r="N46" s="33"/>
      <c r="R46" s="3"/>
      <c r="S46" s="3"/>
      <c r="T46" s="3"/>
      <c r="U46" s="3"/>
      <c r="V46" s="3"/>
      <c r="W46" s="3"/>
      <c r="X46" s="3"/>
      <c r="Y46" s="3"/>
      <c r="Z46" s="3"/>
      <c r="AA46" s="3"/>
    </row>
    <row r="47" spans="4:33" x14ac:dyDescent="0.3">
      <c r="J47" s="151"/>
      <c r="K47" s="151"/>
      <c r="N47" s="33"/>
      <c r="R47" s="3"/>
      <c r="S47" s="3"/>
      <c r="T47" s="3"/>
      <c r="U47" s="3"/>
      <c r="V47" s="3"/>
      <c r="W47" s="3"/>
      <c r="X47" s="3"/>
      <c r="Y47" s="3"/>
      <c r="Z47" s="3"/>
      <c r="AA47" s="3"/>
    </row>
    <row r="48" spans="4:33" x14ac:dyDescent="0.3">
      <c r="R48" s="3"/>
      <c r="S48" s="3"/>
      <c r="T48" s="3"/>
      <c r="U48" s="3"/>
      <c r="V48" s="3"/>
      <c r="W48" s="3"/>
      <c r="X48" s="3"/>
      <c r="Y48" s="3"/>
      <c r="Z48" s="3"/>
      <c r="AA48" s="3"/>
    </row>
    <row r="49" s="3" customFormat="1" x14ac:dyDescent="0.3"/>
    <row r="50" s="3" customFormat="1" x14ac:dyDescent="0.3"/>
    <row r="51" s="3" customFormat="1" x14ac:dyDescent="0.3"/>
    <row r="52" s="3" customFormat="1" x14ac:dyDescent="0.3"/>
    <row r="53" s="3" customFormat="1" x14ac:dyDescent="0.3"/>
    <row r="54" s="3" customFormat="1" x14ac:dyDescent="0.3"/>
    <row r="55" s="3" customFormat="1" x14ac:dyDescent="0.3"/>
    <row r="56" s="3" customFormat="1" x14ac:dyDescent="0.3"/>
    <row r="57" s="3" customFormat="1" x14ac:dyDescent="0.3"/>
    <row r="58" s="3" customFormat="1" x14ac:dyDescent="0.3"/>
    <row r="59" s="3" customFormat="1" x14ac:dyDescent="0.3"/>
    <row r="60" s="3" customFormat="1" x14ac:dyDescent="0.3"/>
    <row r="61" s="3" customFormat="1" x14ac:dyDescent="0.3"/>
    <row r="62" s="3" customFormat="1" x14ac:dyDescent="0.3"/>
    <row r="63" s="3" customFormat="1" x14ac:dyDescent="0.3"/>
    <row r="64" s="3" customFormat="1" x14ac:dyDescent="0.3"/>
    <row r="65" s="3" customFormat="1" x14ac:dyDescent="0.3"/>
    <row r="66" s="3" customFormat="1" x14ac:dyDescent="0.3"/>
    <row r="67" s="3" customFormat="1" x14ac:dyDescent="0.3"/>
    <row r="68" s="3" customFormat="1" x14ac:dyDescent="0.3"/>
    <row r="69" s="3" customFormat="1" x14ac:dyDescent="0.3"/>
    <row r="70" s="3" customFormat="1" x14ac:dyDescent="0.3"/>
    <row r="71" s="3" customFormat="1" x14ac:dyDescent="0.3"/>
    <row r="72" s="3" customFormat="1" x14ac:dyDescent="0.3"/>
    <row r="73" s="3" customFormat="1" x14ac:dyDescent="0.3"/>
    <row r="74" s="3" customFormat="1" x14ac:dyDescent="0.3"/>
    <row r="75" s="3" customFormat="1" x14ac:dyDescent="0.3"/>
  </sheetData>
  <mergeCells count="2">
    <mergeCell ref="C2:E2"/>
    <mergeCell ref="C31:D31"/>
  </mergeCells>
  <phoneticPr fontId="4" type="noConversion"/>
  <pageMargins left="0.7" right="0.7" top="0.75" bottom="0.75" header="0.3" footer="0.3"/>
  <ignoredErrors>
    <ignoredError sqref="W31 O31 W4 Y4 Y31 Q31" evalError="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4E0F6-D635-432E-90CA-68708BB97B9C}">
  <sheetPr>
    <tabColor rgb="FFFFFFCC"/>
  </sheetPr>
  <dimension ref="A1:BG82"/>
  <sheetViews>
    <sheetView showGridLines="0" workbookViewId="0">
      <selection activeCell="E46" sqref="E46"/>
    </sheetView>
  </sheetViews>
  <sheetFormatPr defaultRowHeight="13.8" outlineLevelCol="1" x14ac:dyDescent="0.3"/>
  <cols>
    <col min="1" max="1" width="8.88671875" style="2"/>
    <col min="2" max="2" width="19.88671875" style="2" bestFit="1" customWidth="1"/>
    <col min="3" max="3" width="17.44140625" style="2" customWidth="1"/>
    <col min="4" max="4" width="17.77734375" style="2" customWidth="1"/>
    <col min="5" max="5" width="24.6640625" style="2" customWidth="1"/>
    <col min="6" max="8" width="11" style="2" customWidth="1" outlineLevel="1"/>
    <col min="9" max="32" width="11.109375" style="2" customWidth="1"/>
    <col min="33" max="40" width="8.88671875" style="2"/>
    <col min="41" max="53" width="8.88671875" style="3"/>
    <col min="54" max="54" width="11.33203125" style="3" customWidth="1"/>
    <col min="55" max="55" width="14.21875" style="3" customWidth="1"/>
    <col min="56" max="56" width="5.33203125" style="3" customWidth="1"/>
    <col min="57" max="59" width="8.88671875" style="3"/>
    <col min="60" max="16384" width="8.88671875" style="2"/>
  </cols>
  <sheetData>
    <row r="1" spans="1:56" x14ac:dyDescent="0.3">
      <c r="A1" s="3"/>
      <c r="B1" s="55"/>
      <c r="C1" s="55"/>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56" x14ac:dyDescent="0.3">
      <c r="A2" s="3"/>
      <c r="B2" s="55"/>
      <c r="C2" s="55"/>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BB2" s="737"/>
      <c r="BC2" s="737"/>
      <c r="BD2" s="737"/>
    </row>
    <row r="3" spans="1:56" x14ac:dyDescent="0.3">
      <c r="A3" s="3"/>
      <c r="B3" s="23" t="s">
        <v>415</v>
      </c>
      <c r="C3" s="156" t="s">
        <v>417</v>
      </c>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BB3" s="738"/>
      <c r="BC3" s="738"/>
      <c r="BD3" s="738"/>
    </row>
    <row r="4" spans="1:56" x14ac:dyDescent="0.3">
      <c r="A4" s="3"/>
      <c r="B4" s="157">
        <v>0.93</v>
      </c>
      <c r="C4" s="158">
        <f>B4*'Rent Schedule'!$E$31</f>
        <v>0</v>
      </c>
      <c r="D4" s="159"/>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BB4" s="737"/>
      <c r="BC4" s="737"/>
      <c r="BD4" s="737"/>
    </row>
    <row r="5" spans="1:56" x14ac:dyDescent="0.3">
      <c r="A5" s="3"/>
      <c r="B5" s="23" t="s">
        <v>506</v>
      </c>
      <c r="C5" s="23" t="s">
        <v>452</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BB5" s="738"/>
      <c r="BC5" s="738"/>
      <c r="BD5" s="738"/>
    </row>
    <row r="6" spans="1:56" x14ac:dyDescent="0.3">
      <c r="A6" s="3"/>
      <c r="B6" s="160">
        <v>46204</v>
      </c>
      <c r="C6" s="158">
        <f>IFERROR(AVERAGE(I35:AF35),"")</f>
        <v>15.958333333333334</v>
      </c>
      <c r="D6" s="161"/>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BB6" s="737"/>
      <c r="BC6" s="737"/>
      <c r="BD6" s="162"/>
    </row>
    <row r="7" spans="1:56" x14ac:dyDescent="0.3">
      <c r="A7" s="3"/>
      <c r="B7" s="23" t="s">
        <v>442</v>
      </c>
      <c r="C7" s="23" t="s">
        <v>443</v>
      </c>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BC7" s="153"/>
    </row>
    <row r="8" spans="1:56" x14ac:dyDescent="0.3">
      <c r="A8" s="3"/>
      <c r="B8" s="163">
        <v>0</v>
      </c>
      <c r="C8" s="164">
        <v>0.25</v>
      </c>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BC8" s="153"/>
    </row>
    <row r="9" spans="1:56" x14ac:dyDescent="0.3">
      <c r="A9" s="3"/>
      <c r="B9" s="23" t="s">
        <v>52</v>
      </c>
      <c r="C9" s="23" t="s">
        <v>444</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BC9" s="153"/>
    </row>
    <row r="10" spans="1:56" x14ac:dyDescent="0.3">
      <c r="A10" s="3"/>
      <c r="B10" s="482">
        <v>0</v>
      </c>
      <c r="C10" s="164">
        <v>0.5</v>
      </c>
      <c r="D10" s="3"/>
      <c r="E10" s="3"/>
      <c r="F10" s="3"/>
      <c r="G10" s="3"/>
      <c r="H10" s="3"/>
      <c r="I10" s="708"/>
      <c r="J10" s="153"/>
      <c r="K10" s="153"/>
      <c r="L10" s="153"/>
      <c r="M10" s="153"/>
      <c r="N10" s="153"/>
      <c r="O10" s="153"/>
      <c r="P10" s="153"/>
      <c r="Q10" s="153"/>
      <c r="R10" s="153"/>
      <c r="S10" s="153"/>
      <c r="T10" s="153"/>
      <c r="U10" s="153"/>
      <c r="V10" s="153"/>
      <c r="W10" s="153"/>
      <c r="X10" s="153"/>
      <c r="Y10" s="153"/>
      <c r="Z10" s="153"/>
      <c r="AA10" s="153"/>
      <c r="AB10" s="153"/>
      <c r="AC10" s="153"/>
      <c r="AD10" s="153"/>
      <c r="AE10" s="153"/>
      <c r="AF10" s="153"/>
      <c r="AG10" s="3"/>
      <c r="AH10" s="3"/>
      <c r="AI10" s="3"/>
      <c r="AJ10" s="3"/>
      <c r="AK10" s="3"/>
      <c r="AL10" s="3"/>
      <c r="AM10" s="3"/>
      <c r="AN10" s="3"/>
      <c r="BC10" s="153"/>
    </row>
    <row r="11" spans="1:56" x14ac:dyDescent="0.3">
      <c r="A11" s="3"/>
      <c r="B11" s="55"/>
      <c r="C11" s="55"/>
      <c r="D11" s="3"/>
      <c r="E11" s="3"/>
      <c r="F11" s="3"/>
      <c r="G11" s="3"/>
      <c r="H11" s="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3"/>
      <c r="AH11" s="3"/>
      <c r="AI11" s="3"/>
      <c r="AJ11" s="3"/>
      <c r="AK11" s="3"/>
      <c r="AL11" s="3"/>
      <c r="AM11" s="3"/>
      <c r="AN11" s="3"/>
      <c r="BC11" s="153"/>
    </row>
    <row r="12" spans="1:56" hidden="1" x14ac:dyDescent="0.3">
      <c r="A12" s="3"/>
      <c r="B12" s="55"/>
      <c r="C12" s="55"/>
      <c r="D12" s="3"/>
      <c r="E12" s="3" t="s">
        <v>454</v>
      </c>
      <c r="F12" s="3"/>
      <c r="G12" s="3"/>
      <c r="H12" s="3"/>
      <c r="I12" s="165" t="e">
        <f>ROUND('[1]Rent Schedule'!$E$22* _xlfn.XLOOKUP( TEXT(IFERROR(DATEVALUE("1 "&amp;I$25), I$25), "mmmm"), CapMonth, CapPct ), 0 )</f>
        <v>#REF!</v>
      </c>
      <c r="J12" s="165" t="e">
        <f>ROUND('[1]Rent Schedule'!$E$22* _xlfn.XLOOKUP( TEXT(IFERROR(DATEVALUE("1 "&amp;J$25), J$25), "mmmm"), CapMonth, CapPct ), 0 )</f>
        <v>#REF!</v>
      </c>
      <c r="K12" s="165" t="e">
        <f>ROUND('[1]Rent Schedule'!$E$22* _xlfn.XLOOKUP( TEXT(IFERROR(DATEVALUE("1 "&amp;K$25), K$25), "mmmm"), CapMonth, CapPct ), 0 )</f>
        <v>#REF!</v>
      </c>
      <c r="L12" s="165" t="e">
        <f>ROUND('[1]Rent Schedule'!$E$22* _xlfn.XLOOKUP( TEXT(IFERROR(DATEVALUE("1 "&amp;L$25), L$25), "mmmm"), CapMonth, CapPct ), 0 )</f>
        <v>#REF!</v>
      </c>
      <c r="M12" s="165" t="e">
        <f>ROUND('[1]Rent Schedule'!$E$22* _xlfn.XLOOKUP( TEXT(IFERROR(DATEVALUE("1 "&amp;M$25), M$25), "mmmm"), CapMonth, CapPct ), 0 )</f>
        <v>#REF!</v>
      </c>
      <c r="N12" s="165" t="e">
        <f>ROUND('[1]Rent Schedule'!$E$22* _xlfn.XLOOKUP( TEXT(IFERROR(DATEVALUE("1 "&amp;N$25), N$25), "mmmm"), CapMonth, CapPct ), 0 )</f>
        <v>#REF!</v>
      </c>
      <c r="O12" s="165" t="e">
        <f>ROUND('[1]Rent Schedule'!$E$22* _xlfn.XLOOKUP( TEXT(IFERROR(DATEVALUE("1 "&amp;O$25), O$25), "mmmm"), CapMonth, CapPct ), 0 )</f>
        <v>#REF!</v>
      </c>
      <c r="P12" s="165" t="e">
        <f>ROUND('[1]Rent Schedule'!$E$22* _xlfn.XLOOKUP( TEXT(IFERROR(DATEVALUE("1 "&amp;P$25), P$25), "mmmm"), CapMonth, CapPct ), 0 )</f>
        <v>#REF!</v>
      </c>
      <c r="Q12" s="165" t="e">
        <f>ROUND('[1]Rent Schedule'!$E$22* _xlfn.XLOOKUP( TEXT(IFERROR(DATEVALUE("1 "&amp;Q$25), Q$25), "mmmm"), CapMonth, CapPct ), 0 )</f>
        <v>#REF!</v>
      </c>
      <c r="R12" s="165" t="e">
        <f>ROUND('[1]Rent Schedule'!$E$22* _xlfn.XLOOKUP( TEXT(IFERROR(DATEVALUE("1 "&amp;R$25), R$25), "mmmm"), CapMonth, CapPct ), 0 )</f>
        <v>#REF!</v>
      </c>
      <c r="S12" s="165" t="e">
        <f>ROUND('[1]Rent Schedule'!$E$22* _xlfn.XLOOKUP( TEXT(IFERROR(DATEVALUE("1 "&amp;S$25), S$25), "mmmm"), CapMonth, CapPct ), 0 )</f>
        <v>#REF!</v>
      </c>
      <c r="T12" s="165" t="e">
        <f>ROUND('[1]Rent Schedule'!$E$22* _xlfn.XLOOKUP( TEXT(IFERROR(DATEVALUE("1 "&amp;T$25), T$25), "mmmm"), CapMonth, CapPct ), 0 )</f>
        <v>#REF!</v>
      </c>
      <c r="U12" s="165" t="e">
        <f>ROUND('[1]Rent Schedule'!$E$22* _xlfn.XLOOKUP( TEXT(IFERROR(DATEVALUE("1 "&amp;U$25), U$25), "mmmm"), CapMonth, CapPct ), 0 )</f>
        <v>#REF!</v>
      </c>
      <c r="V12" s="165" t="e">
        <f>ROUND('[1]Rent Schedule'!$E$22* _xlfn.XLOOKUP( TEXT(IFERROR(DATEVALUE("1 "&amp;V$25), V$25), "mmmm"), CapMonth, CapPct ), 0 )</f>
        <v>#REF!</v>
      </c>
      <c r="W12" s="165" t="e">
        <f>ROUND('[1]Rent Schedule'!$E$22* _xlfn.XLOOKUP( TEXT(IFERROR(DATEVALUE("1 "&amp;W$25), W$25), "mmmm"), CapMonth, CapPct ), 0 )</f>
        <v>#REF!</v>
      </c>
      <c r="X12" s="165" t="e">
        <f>ROUND('[1]Rent Schedule'!$E$22* _xlfn.XLOOKUP( TEXT(IFERROR(DATEVALUE("1 "&amp;X$25), X$25), "mmmm"), CapMonth, CapPct ), 0 )</f>
        <v>#REF!</v>
      </c>
      <c r="Y12" s="165" t="e">
        <f>ROUND('[1]Rent Schedule'!$E$22* _xlfn.XLOOKUP( TEXT(IFERROR(DATEVALUE("1 "&amp;Y$25), Y$25), "mmmm"), CapMonth, CapPct ), 0 )</f>
        <v>#REF!</v>
      </c>
      <c r="Z12" s="165" t="e">
        <f>ROUND('[1]Rent Schedule'!$E$22* _xlfn.XLOOKUP( TEXT(IFERROR(DATEVALUE("1 "&amp;Z$25), Z$25), "mmmm"), CapMonth, CapPct ), 0 )</f>
        <v>#REF!</v>
      </c>
      <c r="AA12" s="165" t="e">
        <f>ROUND('[1]Rent Schedule'!$E$22* _xlfn.XLOOKUP( TEXT(IFERROR(DATEVALUE("1 "&amp;AA$25), AA$25), "mmmm"), CapMonth, CapPct ), 0 )</f>
        <v>#REF!</v>
      </c>
      <c r="AB12" s="165" t="e">
        <f>ROUND('[1]Rent Schedule'!$E$22* _xlfn.XLOOKUP( TEXT(IFERROR(DATEVALUE("1 "&amp;AB$25), AB$25), "mmmm"), CapMonth, CapPct ), 0 )</f>
        <v>#REF!</v>
      </c>
      <c r="AC12" s="165" t="e">
        <f>ROUND('[1]Rent Schedule'!$E$22* _xlfn.XLOOKUP( TEXT(IFERROR(DATEVALUE("1 "&amp;AC$25), AC$25), "mmmm"), CapMonth, CapPct ), 0 )</f>
        <v>#REF!</v>
      </c>
      <c r="AD12" s="165" t="e">
        <f>ROUND('[1]Rent Schedule'!$E$22* _xlfn.XLOOKUP( TEXT(IFERROR(DATEVALUE("1 "&amp;AD$25), AD$25), "mmmm"), CapMonth, CapPct ), 0 )</f>
        <v>#REF!</v>
      </c>
      <c r="AE12" s="165" t="e">
        <f>ROUND('[1]Rent Schedule'!$E$22* _xlfn.XLOOKUP( TEXT(IFERROR(DATEVALUE("1 "&amp;AE$25), AE$25), "mmmm"), CapMonth, CapPct ), 0 )</f>
        <v>#REF!</v>
      </c>
      <c r="AF12" s="165" t="e">
        <f>ROUND('[1]Rent Schedule'!$E$22* _xlfn.XLOOKUP( TEXT(IFERROR(DATEVALUE("1 "&amp;AF$25), AF$25), "mmmm"), CapMonth, CapPct ), 0 )</f>
        <v>#REF!</v>
      </c>
      <c r="AG12" s="165" t="e">
        <f>ROUND('[1]Rent Schedule'!$E$22* _xlfn.XLOOKUP( TEXT(IFERROR(DATEVALUE("1 "&amp;AG$25), AG$25), "mmmm"), CapMonth, CapPct ), 0 )</f>
        <v>#REF!</v>
      </c>
      <c r="AH12" s="165" t="e">
        <f>ROUND('[1]Rent Schedule'!$E$22* _xlfn.XLOOKUP( TEXT(IFERROR(DATEVALUE("1 "&amp;AH$25), AH$25), "mmmm"), CapMonth, CapPct ), 0 )</f>
        <v>#REF!</v>
      </c>
      <c r="AI12" s="165" t="e">
        <f>ROUND('[1]Rent Schedule'!$E$22* _xlfn.XLOOKUP( TEXT(IFERROR(DATEVALUE("1 "&amp;AI$25), AI$25), "mmmm"), CapMonth, CapPct ), 0 )</f>
        <v>#REF!</v>
      </c>
      <c r="AJ12" s="165" t="e">
        <f>ROUND('[1]Rent Schedule'!$E$22* _xlfn.XLOOKUP( TEXT(IFERROR(DATEVALUE("1 "&amp;AJ$25), AJ$25), "mmmm"), CapMonth, CapPct ), 0 )</f>
        <v>#REF!</v>
      </c>
      <c r="AK12" s="165" t="e">
        <f>ROUND('[1]Rent Schedule'!$E$22* _xlfn.XLOOKUP( TEXT(IFERROR(DATEVALUE("1 "&amp;AK$25), AK$25), "mmmm"), CapMonth, CapPct ), 0 )</f>
        <v>#REF!</v>
      </c>
      <c r="AL12" s="165" t="e">
        <f>ROUND('[1]Rent Schedule'!$E$22* _xlfn.XLOOKUP( TEXT(IFERROR(DATEVALUE("1 "&amp;AL$25), AL$25), "mmmm"), CapMonth, CapPct ), 0 )</f>
        <v>#REF!</v>
      </c>
      <c r="AM12" s="165" t="e">
        <f>ROUND('[1]Rent Schedule'!$E$22* _xlfn.XLOOKUP( TEXT(IFERROR(DATEVALUE("1 "&amp;AM$25), AM$25), "mmmm"), CapMonth, CapPct ), 0 )</f>
        <v>#REF!</v>
      </c>
      <c r="AN12" s="165" t="e">
        <f>ROUND('[1]Rent Schedule'!$E$22* _xlfn.XLOOKUP( TEXT(IFERROR(DATEVALUE("1 "&amp;AN$25), AN$25), "mmmm"), CapMonth, CapPct ), 0 )</f>
        <v>#REF!</v>
      </c>
      <c r="AO12" s="165" t="e">
        <f>ROUND('[1]Rent Schedule'!$E$22* _xlfn.XLOOKUP( TEXT(IFERROR(DATEVALUE("1 "&amp;AO$25), AO$25), "mmmm"), CapMonth, CapPct ), 0 )</f>
        <v>#REF!</v>
      </c>
      <c r="AP12" s="165" t="e">
        <f>ROUND('[1]Rent Schedule'!$E$22* _xlfn.XLOOKUP( TEXT(IFERROR(DATEVALUE("1 "&amp;AP$25), AP$25), "mmmm"), CapMonth, CapPct ), 0 )</f>
        <v>#REF!</v>
      </c>
      <c r="AQ12" s="165" t="e">
        <f>ROUND('[1]Rent Schedule'!$E$22* _xlfn.XLOOKUP( TEXT(IFERROR(DATEVALUE("1 "&amp;AQ$25), AQ$25), "mmmm"), CapMonth, CapPct ), 0 )</f>
        <v>#REF!</v>
      </c>
      <c r="AR12" s="165" t="e">
        <f>ROUND('[1]Rent Schedule'!$E$22* _xlfn.XLOOKUP( TEXT(IFERROR(DATEVALUE("1 "&amp;AR$25), AR$25), "mmmm"), CapMonth, CapPct ), 0 )</f>
        <v>#REF!</v>
      </c>
      <c r="AS12" s="165" t="e">
        <f>ROUND('[1]Rent Schedule'!$E$22* _xlfn.XLOOKUP( TEXT(IFERROR(DATEVALUE("1 "&amp;AS$25), AS$25), "mmmm"), CapMonth, CapPct ), 0 )</f>
        <v>#REF!</v>
      </c>
      <c r="AT12" s="165" t="e">
        <f>ROUND('[1]Rent Schedule'!$E$22* _xlfn.XLOOKUP( TEXT(IFERROR(DATEVALUE("1 "&amp;AT$25), AT$25), "mmmm"), CapMonth, CapPct ), 0 )</f>
        <v>#REF!</v>
      </c>
      <c r="AU12" s="165" t="e">
        <f>ROUND('[1]Rent Schedule'!$E$22* _xlfn.XLOOKUP( TEXT(IFERROR(DATEVALUE("1 "&amp;AU$25), AU$25), "mmmm"), CapMonth, CapPct ), 0 )</f>
        <v>#REF!</v>
      </c>
      <c r="AV12" s="165" t="e">
        <f>ROUND('[1]Rent Schedule'!$E$22* _xlfn.XLOOKUP( TEXT(IFERROR(DATEVALUE("1 "&amp;AV$25), AV$25), "mmmm"), CapMonth, CapPct ), 0 )</f>
        <v>#REF!</v>
      </c>
      <c r="AW12" s="165" t="e">
        <f>ROUND('[1]Rent Schedule'!$E$22* _xlfn.XLOOKUP( TEXT(IFERROR(DATEVALUE("1 "&amp;AW$25), AW$25), "mmmm"), CapMonth, CapPct ), 0 )</f>
        <v>#REF!</v>
      </c>
      <c r="AX12" s="165" t="e">
        <f>ROUND('[1]Rent Schedule'!$E$22* _xlfn.XLOOKUP( TEXT(IFERROR(DATEVALUE("1 "&amp;AX$25), AX$25), "mmmm"), CapMonth, CapPct ), 0 )</f>
        <v>#REF!</v>
      </c>
      <c r="AY12" s="165" t="e">
        <f>ROUND('[1]Rent Schedule'!$E$22* _xlfn.XLOOKUP( TEXT(IFERROR(DATEVALUE("1 "&amp;AY$25), AY$25), "mmmm"), CapMonth, CapPct ), 0 )</f>
        <v>#REF!</v>
      </c>
      <c r="AZ12" s="165" t="e">
        <f>ROUND('[1]Rent Schedule'!$E$22* _xlfn.XLOOKUP( TEXT(IFERROR(DATEVALUE("1 "&amp;AZ$25), AZ$25), "mmmm"), CapMonth, CapPct ), 0 )</f>
        <v>#REF!</v>
      </c>
      <c r="BC12" s="153"/>
    </row>
    <row r="13" spans="1:56" hidden="1" x14ac:dyDescent="0.3">
      <c r="A13" s="3"/>
      <c r="B13" s="3"/>
      <c r="C13" s="3"/>
      <c r="D13" s="3"/>
      <c r="E13" s="3" t="s">
        <v>453</v>
      </c>
      <c r="F13" s="3"/>
      <c r="G13" s="3"/>
      <c r="H13" s="3"/>
      <c r="I13" s="166">
        <v>0</v>
      </c>
      <c r="J13" s="166">
        <v>0</v>
      </c>
      <c r="K13" s="166">
        <v>0</v>
      </c>
      <c r="L13" s="166">
        <v>0</v>
      </c>
      <c r="M13" s="166">
        <v>0</v>
      </c>
      <c r="N13" s="166">
        <v>0</v>
      </c>
      <c r="O13" s="166">
        <v>0</v>
      </c>
      <c r="P13" s="166">
        <v>0</v>
      </c>
      <c r="Q13" s="166">
        <v>0</v>
      </c>
      <c r="R13" s="166">
        <v>0</v>
      </c>
      <c r="S13" s="166">
        <v>0</v>
      </c>
      <c r="T13" s="166">
        <v>0</v>
      </c>
      <c r="U13" s="166">
        <v>0</v>
      </c>
      <c r="V13" s="166">
        <v>0</v>
      </c>
      <c r="W13" s="166">
        <v>0</v>
      </c>
      <c r="X13" s="166">
        <v>0</v>
      </c>
      <c r="Y13" s="166">
        <v>0</v>
      </c>
      <c r="Z13" s="166">
        <v>0</v>
      </c>
      <c r="AA13" s="166">
        <v>0</v>
      </c>
      <c r="AB13" s="166">
        <v>0</v>
      </c>
      <c r="AC13" s="166">
        <v>0</v>
      </c>
      <c r="AD13" s="166">
        <v>0</v>
      </c>
      <c r="AE13" s="166">
        <v>0</v>
      </c>
      <c r="AF13" s="166">
        <v>0</v>
      </c>
      <c r="AG13" s="166">
        <v>0</v>
      </c>
      <c r="AH13" s="166">
        <v>0</v>
      </c>
      <c r="AI13" s="166">
        <v>0</v>
      </c>
      <c r="AJ13" s="166">
        <v>0</v>
      </c>
      <c r="AK13" s="166">
        <v>0</v>
      </c>
      <c r="AL13" s="166">
        <v>0</v>
      </c>
      <c r="AM13" s="166">
        <v>0</v>
      </c>
      <c r="AN13" s="166">
        <v>0</v>
      </c>
      <c r="AO13" s="165">
        <v>0</v>
      </c>
      <c r="AP13" s="165">
        <v>0</v>
      </c>
      <c r="AQ13" s="165">
        <v>0</v>
      </c>
      <c r="AR13" s="165">
        <v>0</v>
      </c>
      <c r="AS13" s="165">
        <v>0</v>
      </c>
      <c r="AT13" s="165">
        <v>0</v>
      </c>
      <c r="AU13" s="165">
        <v>0</v>
      </c>
      <c r="AV13" s="165">
        <v>0</v>
      </c>
      <c r="AW13" s="165">
        <v>0</v>
      </c>
      <c r="AX13" s="165">
        <v>0</v>
      </c>
      <c r="AY13" s="165">
        <v>0</v>
      </c>
      <c r="AZ13" s="165">
        <v>0</v>
      </c>
      <c r="BC13" s="153"/>
    </row>
    <row r="14" spans="1:56" hidden="1" x14ac:dyDescent="0.3">
      <c r="A14" s="3"/>
      <c r="B14" s="3"/>
      <c r="C14" s="3"/>
      <c r="D14" s="3"/>
      <c r="E14" s="3" t="s">
        <v>455</v>
      </c>
      <c r="F14" s="3"/>
      <c r="G14" s="3"/>
      <c r="H14" s="3"/>
      <c r="I14" s="165" t="e">
        <f>MAX(0, I12 - I13)</f>
        <v>#REF!</v>
      </c>
      <c r="J14" s="165" t="e">
        <f t="shared" ref="J14:AZ14" si="0">MAX(0, J12 - J13)</f>
        <v>#REF!</v>
      </c>
      <c r="K14" s="165" t="e">
        <f t="shared" si="0"/>
        <v>#REF!</v>
      </c>
      <c r="L14" s="165" t="e">
        <f t="shared" si="0"/>
        <v>#REF!</v>
      </c>
      <c r="M14" s="165" t="e">
        <f t="shared" si="0"/>
        <v>#REF!</v>
      </c>
      <c r="N14" s="165" t="e">
        <f t="shared" si="0"/>
        <v>#REF!</v>
      </c>
      <c r="O14" s="165" t="e">
        <f t="shared" si="0"/>
        <v>#REF!</v>
      </c>
      <c r="P14" s="165" t="e">
        <f t="shared" si="0"/>
        <v>#REF!</v>
      </c>
      <c r="Q14" s="165" t="e">
        <f t="shared" si="0"/>
        <v>#REF!</v>
      </c>
      <c r="R14" s="165" t="e">
        <f t="shared" si="0"/>
        <v>#REF!</v>
      </c>
      <c r="S14" s="165" t="e">
        <f t="shared" si="0"/>
        <v>#REF!</v>
      </c>
      <c r="T14" s="165" t="e">
        <f t="shared" si="0"/>
        <v>#REF!</v>
      </c>
      <c r="U14" s="165" t="e">
        <f t="shared" si="0"/>
        <v>#REF!</v>
      </c>
      <c r="V14" s="165" t="e">
        <f t="shared" si="0"/>
        <v>#REF!</v>
      </c>
      <c r="W14" s="165" t="e">
        <f t="shared" si="0"/>
        <v>#REF!</v>
      </c>
      <c r="X14" s="165" t="e">
        <f t="shared" si="0"/>
        <v>#REF!</v>
      </c>
      <c r="Y14" s="165" t="e">
        <f t="shared" si="0"/>
        <v>#REF!</v>
      </c>
      <c r="Z14" s="165" t="e">
        <f t="shared" si="0"/>
        <v>#REF!</v>
      </c>
      <c r="AA14" s="165" t="e">
        <f t="shared" si="0"/>
        <v>#REF!</v>
      </c>
      <c r="AB14" s="165" t="e">
        <f t="shared" si="0"/>
        <v>#REF!</v>
      </c>
      <c r="AC14" s="165" t="e">
        <f t="shared" si="0"/>
        <v>#REF!</v>
      </c>
      <c r="AD14" s="165" t="e">
        <f t="shared" si="0"/>
        <v>#REF!</v>
      </c>
      <c r="AE14" s="165" t="e">
        <f t="shared" si="0"/>
        <v>#REF!</v>
      </c>
      <c r="AF14" s="165" t="e">
        <f t="shared" si="0"/>
        <v>#REF!</v>
      </c>
      <c r="AG14" s="165" t="e">
        <f t="shared" si="0"/>
        <v>#REF!</v>
      </c>
      <c r="AH14" s="165" t="e">
        <f t="shared" si="0"/>
        <v>#REF!</v>
      </c>
      <c r="AI14" s="165" t="e">
        <f t="shared" si="0"/>
        <v>#REF!</v>
      </c>
      <c r="AJ14" s="165" t="e">
        <f t="shared" si="0"/>
        <v>#REF!</v>
      </c>
      <c r="AK14" s="165" t="e">
        <f t="shared" si="0"/>
        <v>#REF!</v>
      </c>
      <c r="AL14" s="165" t="e">
        <f t="shared" si="0"/>
        <v>#REF!</v>
      </c>
      <c r="AM14" s="165" t="e">
        <f t="shared" si="0"/>
        <v>#REF!</v>
      </c>
      <c r="AN14" s="165" t="e">
        <f t="shared" si="0"/>
        <v>#REF!</v>
      </c>
      <c r="AO14" s="165" t="e">
        <f t="shared" si="0"/>
        <v>#REF!</v>
      </c>
      <c r="AP14" s="165" t="e">
        <f t="shared" si="0"/>
        <v>#REF!</v>
      </c>
      <c r="AQ14" s="165" t="e">
        <f t="shared" si="0"/>
        <v>#REF!</v>
      </c>
      <c r="AR14" s="165" t="e">
        <f t="shared" si="0"/>
        <v>#REF!</v>
      </c>
      <c r="AS14" s="165" t="e">
        <f t="shared" si="0"/>
        <v>#REF!</v>
      </c>
      <c r="AT14" s="165" t="e">
        <f t="shared" si="0"/>
        <v>#REF!</v>
      </c>
      <c r="AU14" s="165" t="e">
        <f t="shared" si="0"/>
        <v>#REF!</v>
      </c>
      <c r="AV14" s="165" t="e">
        <f t="shared" si="0"/>
        <v>#REF!</v>
      </c>
      <c r="AW14" s="165" t="e">
        <f t="shared" si="0"/>
        <v>#REF!</v>
      </c>
      <c r="AX14" s="165" t="e">
        <f t="shared" si="0"/>
        <v>#REF!</v>
      </c>
      <c r="AY14" s="165" t="e">
        <f t="shared" si="0"/>
        <v>#REF!</v>
      </c>
      <c r="AZ14" s="165" t="e">
        <f t="shared" si="0"/>
        <v>#REF!</v>
      </c>
      <c r="BC14" s="153"/>
    </row>
    <row r="15" spans="1:56" hidden="1" x14ac:dyDescent="0.3">
      <c r="A15" s="3"/>
      <c r="B15" s="3"/>
      <c r="C15" s="3"/>
      <c r="D15" s="3"/>
      <c r="E15" s="3"/>
      <c r="F15" s="3"/>
      <c r="G15" s="3"/>
      <c r="H15" s="3"/>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3"/>
      <c r="AH15" s="3"/>
      <c r="AI15" s="3"/>
      <c r="AJ15" s="3"/>
      <c r="AK15" s="3"/>
      <c r="AL15" s="3"/>
      <c r="AM15" s="3"/>
      <c r="AN15" s="3"/>
      <c r="BC15" s="153"/>
    </row>
    <row r="16" spans="1:56" hidden="1" x14ac:dyDescent="0.3">
      <c r="A16" s="3"/>
      <c r="B16" s="3"/>
      <c r="C16" s="3"/>
      <c r="D16" s="3"/>
      <c r="E16" s="3" cm="1">
        <f t="array" ref="E16">_xlfn.SEQUENCE($BB$5-$BB$3+1,1,$BB$3,1)</f>
        <v>0</v>
      </c>
      <c r="F16" s="3"/>
      <c r="G16" s="3"/>
      <c r="H16" s="3"/>
      <c r="I16" s="165">
        <f t="shared" ref="I16:AF16" ca="1" si="1">IFERROR(OFFSET(I$14,0,$E$16),0)</f>
        <v>0</v>
      </c>
      <c r="J16" s="165">
        <f t="shared" ca="1" si="1"/>
        <v>0</v>
      </c>
      <c r="K16" s="165">
        <f t="shared" ca="1" si="1"/>
        <v>0</v>
      </c>
      <c r="L16" s="165">
        <f t="shared" ca="1" si="1"/>
        <v>0</v>
      </c>
      <c r="M16" s="165">
        <f t="shared" ca="1" si="1"/>
        <v>0</v>
      </c>
      <c r="N16" s="165">
        <f t="shared" ca="1" si="1"/>
        <v>0</v>
      </c>
      <c r="O16" s="165">
        <f t="shared" ca="1" si="1"/>
        <v>0</v>
      </c>
      <c r="P16" s="165">
        <f t="shared" ca="1" si="1"/>
        <v>0</v>
      </c>
      <c r="Q16" s="165">
        <f t="shared" ca="1" si="1"/>
        <v>0</v>
      </c>
      <c r="R16" s="165">
        <f t="shared" ca="1" si="1"/>
        <v>0</v>
      </c>
      <c r="S16" s="165">
        <f t="shared" ca="1" si="1"/>
        <v>0</v>
      </c>
      <c r="T16" s="165">
        <f t="shared" ca="1" si="1"/>
        <v>0</v>
      </c>
      <c r="U16" s="165">
        <f t="shared" ca="1" si="1"/>
        <v>0</v>
      </c>
      <c r="V16" s="165">
        <f t="shared" ca="1" si="1"/>
        <v>0</v>
      </c>
      <c r="W16" s="165">
        <f t="shared" ca="1" si="1"/>
        <v>0</v>
      </c>
      <c r="X16" s="165">
        <f t="shared" ca="1" si="1"/>
        <v>0</v>
      </c>
      <c r="Y16" s="165">
        <f t="shared" ca="1" si="1"/>
        <v>0</v>
      </c>
      <c r="Z16" s="165">
        <f t="shared" ca="1" si="1"/>
        <v>0</v>
      </c>
      <c r="AA16" s="165">
        <f t="shared" ca="1" si="1"/>
        <v>0</v>
      </c>
      <c r="AB16" s="165">
        <f t="shared" ca="1" si="1"/>
        <v>0</v>
      </c>
      <c r="AC16" s="165">
        <f t="shared" ca="1" si="1"/>
        <v>0</v>
      </c>
      <c r="AD16" s="165">
        <f t="shared" ca="1" si="1"/>
        <v>0</v>
      </c>
      <c r="AE16" s="165">
        <f t="shared" ca="1" si="1"/>
        <v>0</v>
      </c>
      <c r="AF16" s="165">
        <f t="shared" ca="1" si="1"/>
        <v>0</v>
      </c>
      <c r="AG16" s="3"/>
      <c r="AH16" s="3"/>
      <c r="AI16" s="3"/>
      <c r="AJ16" s="3"/>
      <c r="AK16" s="3"/>
      <c r="AL16" s="3"/>
      <c r="AM16" s="3"/>
      <c r="AN16" s="3"/>
      <c r="BC16" s="153"/>
    </row>
    <row r="17" spans="1:55" hidden="1" x14ac:dyDescent="0.3">
      <c r="A17" s="3"/>
      <c r="B17" s="3"/>
      <c r="C17" s="3"/>
      <c r="D17" s="3"/>
      <c r="E17" s="3"/>
      <c r="F17" s="3"/>
      <c r="G17" s="3"/>
      <c r="H17" s="3"/>
      <c r="I17" s="165">
        <f t="shared" ref="I17:AF17" ca="1" si="2">IFERROR(OFFSET(I$14,0,$E$17),0)</f>
        <v>0</v>
      </c>
      <c r="J17" s="165">
        <f t="shared" ca="1" si="2"/>
        <v>0</v>
      </c>
      <c r="K17" s="165">
        <f t="shared" ca="1" si="2"/>
        <v>0</v>
      </c>
      <c r="L17" s="165">
        <f t="shared" ca="1" si="2"/>
        <v>0</v>
      </c>
      <c r="M17" s="165">
        <f t="shared" ca="1" si="2"/>
        <v>0</v>
      </c>
      <c r="N17" s="165">
        <f t="shared" ca="1" si="2"/>
        <v>0</v>
      </c>
      <c r="O17" s="165">
        <f t="shared" ca="1" si="2"/>
        <v>0</v>
      </c>
      <c r="P17" s="165">
        <f t="shared" ca="1" si="2"/>
        <v>0</v>
      </c>
      <c r="Q17" s="165">
        <f t="shared" ca="1" si="2"/>
        <v>0</v>
      </c>
      <c r="R17" s="165">
        <f t="shared" ca="1" si="2"/>
        <v>0</v>
      </c>
      <c r="S17" s="165">
        <f t="shared" ca="1" si="2"/>
        <v>0</v>
      </c>
      <c r="T17" s="165">
        <f t="shared" ca="1" si="2"/>
        <v>0</v>
      </c>
      <c r="U17" s="165">
        <f t="shared" ca="1" si="2"/>
        <v>0</v>
      </c>
      <c r="V17" s="165">
        <f t="shared" ca="1" si="2"/>
        <v>0</v>
      </c>
      <c r="W17" s="165">
        <f t="shared" ca="1" si="2"/>
        <v>0</v>
      </c>
      <c r="X17" s="165">
        <f t="shared" ca="1" si="2"/>
        <v>0</v>
      </c>
      <c r="Y17" s="165">
        <f t="shared" ca="1" si="2"/>
        <v>0</v>
      </c>
      <c r="Z17" s="165">
        <f t="shared" ca="1" si="2"/>
        <v>0</v>
      </c>
      <c r="AA17" s="165">
        <f t="shared" ca="1" si="2"/>
        <v>0</v>
      </c>
      <c r="AB17" s="165">
        <f t="shared" ca="1" si="2"/>
        <v>0</v>
      </c>
      <c r="AC17" s="165">
        <f t="shared" ca="1" si="2"/>
        <v>0</v>
      </c>
      <c r="AD17" s="165">
        <f t="shared" ca="1" si="2"/>
        <v>0</v>
      </c>
      <c r="AE17" s="165">
        <f t="shared" ca="1" si="2"/>
        <v>0</v>
      </c>
      <c r="AF17" s="165">
        <f t="shared" ca="1" si="2"/>
        <v>0</v>
      </c>
      <c r="AG17" s="3"/>
      <c r="AH17" s="3"/>
      <c r="AI17" s="3"/>
      <c r="AJ17" s="3"/>
      <c r="AK17" s="3"/>
      <c r="AL17" s="3"/>
      <c r="AM17" s="3"/>
      <c r="AN17" s="3"/>
      <c r="BC17" s="153"/>
    </row>
    <row r="18" spans="1:55" hidden="1" x14ac:dyDescent="0.3">
      <c r="A18" s="3"/>
      <c r="B18" s="3"/>
      <c r="C18" s="3"/>
      <c r="D18" s="3"/>
      <c r="E18" s="3"/>
      <c r="F18" s="3"/>
      <c r="G18" s="3"/>
      <c r="H18" s="3"/>
      <c r="I18" s="165">
        <f t="shared" ref="I18:AF18" ca="1" si="3">IFERROR(OFFSET(I$14,0,$E$18),0)</f>
        <v>0</v>
      </c>
      <c r="J18" s="165">
        <f t="shared" ca="1" si="3"/>
        <v>0</v>
      </c>
      <c r="K18" s="165">
        <f t="shared" ca="1" si="3"/>
        <v>0</v>
      </c>
      <c r="L18" s="165">
        <f t="shared" ca="1" si="3"/>
        <v>0</v>
      </c>
      <c r="M18" s="165">
        <f t="shared" ca="1" si="3"/>
        <v>0</v>
      </c>
      <c r="N18" s="165">
        <f t="shared" ca="1" si="3"/>
        <v>0</v>
      </c>
      <c r="O18" s="165">
        <f t="shared" ca="1" si="3"/>
        <v>0</v>
      </c>
      <c r="P18" s="165">
        <f t="shared" ca="1" si="3"/>
        <v>0</v>
      </c>
      <c r="Q18" s="165">
        <f t="shared" ca="1" si="3"/>
        <v>0</v>
      </c>
      <c r="R18" s="165">
        <f t="shared" ca="1" si="3"/>
        <v>0</v>
      </c>
      <c r="S18" s="165">
        <f t="shared" ca="1" si="3"/>
        <v>0</v>
      </c>
      <c r="T18" s="165">
        <f t="shared" ca="1" si="3"/>
        <v>0</v>
      </c>
      <c r="U18" s="165">
        <f t="shared" ca="1" si="3"/>
        <v>0</v>
      </c>
      <c r="V18" s="165">
        <f t="shared" ca="1" si="3"/>
        <v>0</v>
      </c>
      <c r="W18" s="165">
        <f t="shared" ca="1" si="3"/>
        <v>0</v>
      </c>
      <c r="X18" s="165">
        <f t="shared" ca="1" si="3"/>
        <v>0</v>
      </c>
      <c r="Y18" s="165">
        <f t="shared" ca="1" si="3"/>
        <v>0</v>
      </c>
      <c r="Z18" s="165">
        <f t="shared" ca="1" si="3"/>
        <v>0</v>
      </c>
      <c r="AA18" s="165">
        <f t="shared" ca="1" si="3"/>
        <v>0</v>
      </c>
      <c r="AB18" s="165">
        <f t="shared" ca="1" si="3"/>
        <v>0</v>
      </c>
      <c r="AC18" s="165">
        <f t="shared" ca="1" si="3"/>
        <v>0</v>
      </c>
      <c r="AD18" s="165">
        <f t="shared" ca="1" si="3"/>
        <v>0</v>
      </c>
      <c r="AE18" s="165">
        <f t="shared" ca="1" si="3"/>
        <v>0</v>
      </c>
      <c r="AF18" s="165">
        <f t="shared" ca="1" si="3"/>
        <v>0</v>
      </c>
      <c r="AG18" s="3"/>
      <c r="AH18" s="3"/>
      <c r="AI18" s="3"/>
      <c r="AJ18" s="3"/>
      <c r="AK18" s="3"/>
      <c r="AL18" s="3"/>
      <c r="AM18" s="3"/>
      <c r="AN18" s="3"/>
      <c r="BC18" s="153"/>
    </row>
    <row r="19" spans="1:55" hidden="1" x14ac:dyDescent="0.3">
      <c r="A19" s="3"/>
      <c r="B19" s="3"/>
      <c r="C19" s="3"/>
      <c r="D19" s="3"/>
      <c r="E19" s="3"/>
      <c r="F19" s="3"/>
      <c r="G19" s="3"/>
      <c r="H19" s="3"/>
      <c r="I19" s="165">
        <f t="shared" ref="I19:AF19" ca="1" si="4">IFERROR(OFFSET(I$14,0,$E$19),0)</f>
        <v>0</v>
      </c>
      <c r="J19" s="165">
        <f t="shared" ca="1" si="4"/>
        <v>0</v>
      </c>
      <c r="K19" s="165">
        <f t="shared" ca="1" si="4"/>
        <v>0</v>
      </c>
      <c r="L19" s="165">
        <f t="shared" ca="1" si="4"/>
        <v>0</v>
      </c>
      <c r="M19" s="165">
        <f t="shared" ca="1" si="4"/>
        <v>0</v>
      </c>
      <c r="N19" s="165">
        <f t="shared" ca="1" si="4"/>
        <v>0</v>
      </c>
      <c r="O19" s="165">
        <f t="shared" ca="1" si="4"/>
        <v>0</v>
      </c>
      <c r="P19" s="165">
        <f t="shared" ca="1" si="4"/>
        <v>0</v>
      </c>
      <c r="Q19" s="165">
        <f t="shared" ca="1" si="4"/>
        <v>0</v>
      </c>
      <c r="R19" s="165">
        <f t="shared" ca="1" si="4"/>
        <v>0</v>
      </c>
      <c r="S19" s="165">
        <f t="shared" ca="1" si="4"/>
        <v>0</v>
      </c>
      <c r="T19" s="165">
        <f t="shared" ca="1" si="4"/>
        <v>0</v>
      </c>
      <c r="U19" s="165">
        <f t="shared" ca="1" si="4"/>
        <v>0</v>
      </c>
      <c r="V19" s="165">
        <f t="shared" ca="1" si="4"/>
        <v>0</v>
      </c>
      <c r="W19" s="165">
        <f t="shared" ca="1" si="4"/>
        <v>0</v>
      </c>
      <c r="X19" s="165">
        <f t="shared" ca="1" si="4"/>
        <v>0</v>
      </c>
      <c r="Y19" s="165">
        <f t="shared" ca="1" si="4"/>
        <v>0</v>
      </c>
      <c r="Z19" s="165">
        <f t="shared" ca="1" si="4"/>
        <v>0</v>
      </c>
      <c r="AA19" s="165">
        <f t="shared" ca="1" si="4"/>
        <v>0</v>
      </c>
      <c r="AB19" s="165">
        <f t="shared" ca="1" si="4"/>
        <v>0</v>
      </c>
      <c r="AC19" s="165">
        <f t="shared" ca="1" si="4"/>
        <v>0</v>
      </c>
      <c r="AD19" s="165">
        <f t="shared" ca="1" si="4"/>
        <v>0</v>
      </c>
      <c r="AE19" s="165">
        <f t="shared" ca="1" si="4"/>
        <v>0</v>
      </c>
      <c r="AF19" s="165">
        <f t="shared" ca="1" si="4"/>
        <v>0</v>
      </c>
      <c r="AG19" s="3"/>
      <c r="AH19" s="3"/>
      <c r="AI19" s="3"/>
      <c r="AJ19" s="3"/>
      <c r="AK19" s="3"/>
      <c r="AL19" s="3"/>
      <c r="AM19" s="3"/>
      <c r="AN19" s="3"/>
      <c r="BB19" s="162"/>
      <c r="BC19" s="167"/>
    </row>
    <row r="20" spans="1:55" hidden="1" x14ac:dyDescent="0.3">
      <c r="A20" s="3"/>
      <c r="B20" s="3"/>
      <c r="C20" s="3"/>
      <c r="D20" s="3"/>
      <c r="E20" s="3"/>
      <c r="F20" s="3"/>
      <c r="G20" s="3"/>
      <c r="H20" s="3"/>
      <c r="I20" s="165">
        <f t="shared" ref="I20:AF20" ca="1" si="5">IFERROR(OFFSET(I$14,0,$E$20),0)</f>
        <v>0</v>
      </c>
      <c r="J20" s="165">
        <f t="shared" ca="1" si="5"/>
        <v>0</v>
      </c>
      <c r="K20" s="165">
        <f t="shared" ca="1" si="5"/>
        <v>0</v>
      </c>
      <c r="L20" s="165">
        <f t="shared" ca="1" si="5"/>
        <v>0</v>
      </c>
      <c r="M20" s="165">
        <f t="shared" ca="1" si="5"/>
        <v>0</v>
      </c>
      <c r="N20" s="165">
        <f t="shared" ca="1" si="5"/>
        <v>0</v>
      </c>
      <c r="O20" s="165">
        <f t="shared" ca="1" si="5"/>
        <v>0</v>
      </c>
      <c r="P20" s="165">
        <f t="shared" ca="1" si="5"/>
        <v>0</v>
      </c>
      <c r="Q20" s="165">
        <f t="shared" ca="1" si="5"/>
        <v>0</v>
      </c>
      <c r="R20" s="165">
        <f t="shared" ca="1" si="5"/>
        <v>0</v>
      </c>
      <c r="S20" s="165">
        <f t="shared" ca="1" si="5"/>
        <v>0</v>
      </c>
      <c r="T20" s="165">
        <f t="shared" ca="1" si="5"/>
        <v>0</v>
      </c>
      <c r="U20" s="165">
        <f t="shared" ca="1" si="5"/>
        <v>0</v>
      </c>
      <c r="V20" s="165">
        <f t="shared" ca="1" si="5"/>
        <v>0</v>
      </c>
      <c r="W20" s="165">
        <f t="shared" ca="1" si="5"/>
        <v>0</v>
      </c>
      <c r="X20" s="165">
        <f t="shared" ca="1" si="5"/>
        <v>0</v>
      </c>
      <c r="Y20" s="165">
        <f t="shared" ca="1" si="5"/>
        <v>0</v>
      </c>
      <c r="Z20" s="165">
        <f t="shared" ca="1" si="5"/>
        <v>0</v>
      </c>
      <c r="AA20" s="165">
        <f t="shared" ca="1" si="5"/>
        <v>0</v>
      </c>
      <c r="AB20" s="165">
        <f t="shared" ca="1" si="5"/>
        <v>0</v>
      </c>
      <c r="AC20" s="165">
        <f t="shared" ca="1" si="5"/>
        <v>0</v>
      </c>
      <c r="AD20" s="165">
        <f t="shared" ca="1" si="5"/>
        <v>0</v>
      </c>
      <c r="AE20" s="165">
        <f t="shared" ca="1" si="5"/>
        <v>0</v>
      </c>
      <c r="AF20" s="165">
        <f t="shared" ca="1" si="5"/>
        <v>0</v>
      </c>
      <c r="AG20" s="3"/>
      <c r="AH20" s="3"/>
      <c r="AI20" s="3"/>
      <c r="AJ20" s="3"/>
      <c r="AK20" s="3"/>
      <c r="AL20" s="3"/>
      <c r="AM20" s="3"/>
      <c r="AN20" s="3"/>
    </row>
    <row r="21" spans="1:55" hidden="1" x14ac:dyDescent="0.3">
      <c r="A21" s="3"/>
      <c r="B21" s="3"/>
      <c r="C21" s="3"/>
      <c r="D21" s="3"/>
      <c r="E21" s="3"/>
      <c r="F21" s="3"/>
      <c r="G21" s="3"/>
      <c r="H21" s="3"/>
      <c r="I21" s="165">
        <f t="shared" ref="I21:AF21" ca="1" si="6">IFERROR(OFFSET(I$14,0,$E$21),0)</f>
        <v>0</v>
      </c>
      <c r="J21" s="165">
        <f t="shared" ca="1" si="6"/>
        <v>0</v>
      </c>
      <c r="K21" s="165">
        <f t="shared" ca="1" si="6"/>
        <v>0</v>
      </c>
      <c r="L21" s="165">
        <f t="shared" ca="1" si="6"/>
        <v>0</v>
      </c>
      <c r="M21" s="165">
        <f t="shared" ca="1" si="6"/>
        <v>0</v>
      </c>
      <c r="N21" s="165">
        <f t="shared" ca="1" si="6"/>
        <v>0</v>
      </c>
      <c r="O21" s="165">
        <f t="shared" ca="1" si="6"/>
        <v>0</v>
      </c>
      <c r="P21" s="165">
        <f t="shared" ca="1" si="6"/>
        <v>0</v>
      </c>
      <c r="Q21" s="165">
        <f t="shared" ca="1" si="6"/>
        <v>0</v>
      </c>
      <c r="R21" s="165">
        <f t="shared" ca="1" si="6"/>
        <v>0</v>
      </c>
      <c r="S21" s="165">
        <f t="shared" ca="1" si="6"/>
        <v>0</v>
      </c>
      <c r="T21" s="165">
        <f t="shared" ca="1" si="6"/>
        <v>0</v>
      </c>
      <c r="U21" s="165">
        <f t="shared" ca="1" si="6"/>
        <v>0</v>
      </c>
      <c r="V21" s="165">
        <f t="shared" ca="1" si="6"/>
        <v>0</v>
      </c>
      <c r="W21" s="165">
        <f t="shared" ca="1" si="6"/>
        <v>0</v>
      </c>
      <c r="X21" s="165">
        <f t="shared" ca="1" si="6"/>
        <v>0</v>
      </c>
      <c r="Y21" s="165">
        <f t="shared" ca="1" si="6"/>
        <v>0</v>
      </c>
      <c r="Z21" s="165">
        <f t="shared" ca="1" si="6"/>
        <v>0</v>
      </c>
      <c r="AA21" s="165">
        <f t="shared" ca="1" si="6"/>
        <v>0</v>
      </c>
      <c r="AB21" s="165">
        <f t="shared" ca="1" si="6"/>
        <v>0</v>
      </c>
      <c r="AC21" s="165">
        <f t="shared" ca="1" si="6"/>
        <v>0</v>
      </c>
      <c r="AD21" s="165">
        <f t="shared" ca="1" si="6"/>
        <v>0</v>
      </c>
      <c r="AE21" s="165">
        <f t="shared" ca="1" si="6"/>
        <v>0</v>
      </c>
      <c r="AF21" s="165">
        <f t="shared" ca="1" si="6"/>
        <v>0</v>
      </c>
      <c r="AG21" s="3"/>
      <c r="AH21" s="3"/>
      <c r="AI21" s="3"/>
      <c r="AJ21" s="3"/>
      <c r="AK21" s="3"/>
      <c r="AL21" s="3"/>
      <c r="AM21" s="3"/>
      <c r="AN21" s="3"/>
    </row>
    <row r="22" spans="1:55" hidden="1" x14ac:dyDescent="0.3">
      <c r="A22" s="3"/>
      <c r="B22" s="3"/>
      <c r="C22" s="3"/>
      <c r="D22" s="3"/>
      <c r="E22" s="3"/>
      <c r="F22" s="3"/>
      <c r="G22" s="3"/>
      <c r="H22" s="3"/>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c r="AG22" s="3"/>
      <c r="AH22" s="3"/>
      <c r="AI22" s="3"/>
      <c r="AJ22" s="3"/>
      <c r="AK22" s="3"/>
      <c r="AL22" s="3"/>
      <c r="AM22" s="3"/>
      <c r="AN22" s="3"/>
    </row>
    <row r="23" spans="1:55" hidden="1" x14ac:dyDescent="0.3">
      <c r="A23" s="3"/>
      <c r="B23" s="3"/>
      <c r="C23" s="3"/>
      <c r="D23" s="3"/>
      <c r="E23" s="3"/>
      <c r="F23" s="3"/>
      <c r="G23" s="3"/>
      <c r="H23" s="3"/>
      <c r="I23" s="165">
        <v>0</v>
      </c>
      <c r="J23" s="165">
        <v>0</v>
      </c>
      <c r="K23" s="165">
        <f ca="1">MAX(0, MIN(J16, I$32 - MIN(I$32, SUM($J16:J$21))))</f>
        <v>0</v>
      </c>
      <c r="L23" s="165">
        <f t="shared" ref="L23:AF23" ca="1" si="7">SUMIFS($J$16:$J$21,$I$16:$I$21,L$14)</f>
        <v>0</v>
      </c>
      <c r="M23" s="165">
        <f t="shared" ca="1" si="7"/>
        <v>0</v>
      </c>
      <c r="N23" s="165">
        <f t="shared" ca="1" si="7"/>
        <v>0</v>
      </c>
      <c r="O23" s="165">
        <f t="shared" ca="1" si="7"/>
        <v>0</v>
      </c>
      <c r="P23" s="165">
        <f t="shared" ca="1" si="7"/>
        <v>0</v>
      </c>
      <c r="Q23" s="165">
        <f t="shared" ca="1" si="7"/>
        <v>0</v>
      </c>
      <c r="R23" s="165">
        <f t="shared" ca="1" si="7"/>
        <v>0</v>
      </c>
      <c r="S23" s="165">
        <f t="shared" ca="1" si="7"/>
        <v>0</v>
      </c>
      <c r="T23" s="165">
        <f t="shared" ca="1" si="7"/>
        <v>0</v>
      </c>
      <c r="U23" s="165">
        <f t="shared" ca="1" si="7"/>
        <v>0</v>
      </c>
      <c r="V23" s="165">
        <f t="shared" ca="1" si="7"/>
        <v>0</v>
      </c>
      <c r="W23" s="165">
        <f t="shared" ca="1" si="7"/>
        <v>0</v>
      </c>
      <c r="X23" s="165">
        <f t="shared" ca="1" si="7"/>
        <v>0</v>
      </c>
      <c r="Y23" s="165">
        <f t="shared" ca="1" si="7"/>
        <v>0</v>
      </c>
      <c r="Z23" s="165">
        <f t="shared" ca="1" si="7"/>
        <v>0</v>
      </c>
      <c r="AA23" s="165">
        <f t="shared" ca="1" si="7"/>
        <v>0</v>
      </c>
      <c r="AB23" s="165">
        <f t="shared" ca="1" si="7"/>
        <v>0</v>
      </c>
      <c r="AC23" s="165">
        <f t="shared" ca="1" si="7"/>
        <v>0</v>
      </c>
      <c r="AD23" s="165">
        <f t="shared" ca="1" si="7"/>
        <v>0</v>
      </c>
      <c r="AE23" s="165">
        <f t="shared" ca="1" si="7"/>
        <v>0</v>
      </c>
      <c r="AF23" s="165">
        <f t="shared" ca="1" si="7"/>
        <v>0</v>
      </c>
      <c r="AG23" s="3"/>
      <c r="AH23" s="3"/>
      <c r="AI23" s="3"/>
      <c r="AJ23" s="3"/>
      <c r="AK23" s="3"/>
      <c r="AL23" s="3"/>
      <c r="AM23" s="3"/>
      <c r="AN23" s="3"/>
    </row>
    <row r="24" spans="1:55" x14ac:dyDescent="0.3">
      <c r="A24" s="3"/>
      <c r="B24" s="3"/>
      <c r="C24" s="3"/>
      <c r="D24" s="3"/>
      <c r="E24" s="168"/>
      <c r="F24" s="736" t="s">
        <v>425</v>
      </c>
      <c r="G24" s="736"/>
      <c r="H24" s="736"/>
      <c r="I24" s="55"/>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row>
    <row r="25" spans="1:55" x14ac:dyDescent="0.3">
      <c r="A25" s="3"/>
      <c r="B25" s="3"/>
      <c r="C25" s="3"/>
      <c r="D25" s="3"/>
      <c r="E25" s="40" t="s">
        <v>424</v>
      </c>
      <c r="F25" s="169">
        <f>EOMONTH(G25,-1)</f>
        <v>46142</v>
      </c>
      <c r="G25" s="169">
        <f>EOMONTH(H25,-1)</f>
        <v>46173</v>
      </c>
      <c r="H25" s="169">
        <f>EOMONTH(I25,-1)</f>
        <v>46203</v>
      </c>
      <c r="I25" s="169">
        <f>+B6</f>
        <v>46204</v>
      </c>
      <c r="J25" s="169">
        <f>EOMONTH(I25,1)</f>
        <v>46265</v>
      </c>
      <c r="K25" s="169">
        <f t="shared" ref="K25:AZ25" si="8">EOMONTH(J25,1)</f>
        <v>46295</v>
      </c>
      <c r="L25" s="169">
        <f t="shared" si="8"/>
        <v>46326</v>
      </c>
      <c r="M25" s="169">
        <f t="shared" si="8"/>
        <v>46356</v>
      </c>
      <c r="N25" s="169">
        <f t="shared" si="8"/>
        <v>46387</v>
      </c>
      <c r="O25" s="169">
        <f t="shared" si="8"/>
        <v>46418</v>
      </c>
      <c r="P25" s="169">
        <f>EOMONTH(O25,1)</f>
        <v>46446</v>
      </c>
      <c r="Q25" s="169">
        <f>EOMONTH(P25,1)</f>
        <v>46477</v>
      </c>
      <c r="R25" s="169">
        <f t="shared" si="8"/>
        <v>46507</v>
      </c>
      <c r="S25" s="169">
        <f t="shared" si="8"/>
        <v>46538</v>
      </c>
      <c r="T25" s="169">
        <f t="shared" si="8"/>
        <v>46568</v>
      </c>
      <c r="U25" s="169">
        <f t="shared" si="8"/>
        <v>46599</v>
      </c>
      <c r="V25" s="169">
        <f t="shared" si="8"/>
        <v>46630</v>
      </c>
      <c r="W25" s="169">
        <f t="shared" si="8"/>
        <v>46660</v>
      </c>
      <c r="X25" s="169">
        <f t="shared" si="8"/>
        <v>46691</v>
      </c>
      <c r="Y25" s="169">
        <f t="shared" si="8"/>
        <v>46721</v>
      </c>
      <c r="Z25" s="169">
        <f t="shared" si="8"/>
        <v>46752</v>
      </c>
      <c r="AA25" s="169">
        <f t="shared" si="8"/>
        <v>46783</v>
      </c>
      <c r="AB25" s="169">
        <f t="shared" si="8"/>
        <v>46812</v>
      </c>
      <c r="AC25" s="169">
        <f t="shared" si="8"/>
        <v>46843</v>
      </c>
      <c r="AD25" s="169">
        <f t="shared" si="8"/>
        <v>46873</v>
      </c>
      <c r="AE25" s="169">
        <f t="shared" si="8"/>
        <v>46904</v>
      </c>
      <c r="AF25" s="169">
        <f t="shared" si="8"/>
        <v>46934</v>
      </c>
      <c r="AG25" s="483">
        <f t="shared" si="8"/>
        <v>46965</v>
      </c>
      <c r="AH25" s="483">
        <f t="shared" si="8"/>
        <v>46996</v>
      </c>
      <c r="AI25" s="483">
        <f t="shared" si="8"/>
        <v>47026</v>
      </c>
      <c r="AJ25" s="483">
        <f t="shared" si="8"/>
        <v>47057</v>
      </c>
      <c r="AK25" s="483">
        <f t="shared" si="8"/>
        <v>47087</v>
      </c>
      <c r="AL25" s="483">
        <f t="shared" si="8"/>
        <v>47118</v>
      </c>
      <c r="AM25" s="483">
        <f t="shared" si="8"/>
        <v>47149</v>
      </c>
      <c r="AN25" s="483">
        <f t="shared" si="8"/>
        <v>47177</v>
      </c>
      <c r="AO25" s="483">
        <f t="shared" si="8"/>
        <v>47208</v>
      </c>
      <c r="AP25" s="483">
        <f t="shared" si="8"/>
        <v>47238</v>
      </c>
      <c r="AQ25" s="483">
        <f t="shared" si="8"/>
        <v>47269</v>
      </c>
      <c r="AR25" s="483">
        <f t="shared" si="8"/>
        <v>47299</v>
      </c>
      <c r="AS25" s="483">
        <f t="shared" si="8"/>
        <v>47330</v>
      </c>
      <c r="AT25" s="483">
        <f t="shared" si="8"/>
        <v>47361</v>
      </c>
      <c r="AU25" s="483">
        <f t="shared" si="8"/>
        <v>47391</v>
      </c>
      <c r="AV25" s="483">
        <f t="shared" si="8"/>
        <v>47422</v>
      </c>
      <c r="AW25" s="483">
        <f t="shared" si="8"/>
        <v>47452</v>
      </c>
      <c r="AX25" s="483">
        <f t="shared" si="8"/>
        <v>47483</v>
      </c>
      <c r="AY25" s="483">
        <f t="shared" si="8"/>
        <v>47514</v>
      </c>
      <c r="AZ25" s="483">
        <f t="shared" si="8"/>
        <v>47542</v>
      </c>
    </row>
    <row r="26" spans="1:55" x14ac:dyDescent="0.3">
      <c r="A26" s="3"/>
      <c r="B26" s="3"/>
      <c r="C26" s="3"/>
      <c r="D26" s="3"/>
      <c r="E26" s="40"/>
      <c r="F26" s="170"/>
      <c r="G26" s="170"/>
      <c r="H26" s="170"/>
      <c r="I26" s="171"/>
      <c r="J26" s="171"/>
      <c r="K26" s="171"/>
      <c r="L26" s="171"/>
      <c r="M26" s="171"/>
      <c r="N26" s="171"/>
      <c r="O26" s="171"/>
      <c r="P26" s="171"/>
      <c r="Q26" s="171"/>
      <c r="R26" s="171"/>
      <c r="S26" s="171"/>
      <c r="T26" s="171"/>
      <c r="U26" s="171"/>
      <c r="V26" s="171"/>
      <c r="W26" s="171"/>
      <c r="X26" s="171"/>
      <c r="Y26" s="171"/>
      <c r="Z26" s="171"/>
      <c r="AA26" s="171"/>
      <c r="AB26" s="171"/>
      <c r="AC26" s="171"/>
      <c r="AD26" s="171"/>
      <c r="AE26" s="171"/>
      <c r="AF26" s="171"/>
      <c r="AG26" s="3"/>
      <c r="AH26" s="3"/>
      <c r="AI26" s="3"/>
      <c r="AJ26" s="3"/>
      <c r="AK26" s="3"/>
      <c r="AL26" s="3"/>
      <c r="AM26" s="3"/>
      <c r="AN26" s="3"/>
    </row>
    <row r="27" spans="1:55" x14ac:dyDescent="0.3">
      <c r="A27" s="3"/>
      <c r="B27" s="3"/>
      <c r="C27" s="3"/>
      <c r="D27" s="3"/>
      <c r="E27" s="40" t="s">
        <v>445</v>
      </c>
      <c r="F27" s="172"/>
      <c r="G27" s="172"/>
      <c r="H27" s="172"/>
      <c r="I27" s="26"/>
      <c r="J27" s="26"/>
      <c r="K27" s="26"/>
      <c r="L27" s="26"/>
      <c r="M27" s="26"/>
      <c r="N27" s="26"/>
      <c r="O27" s="26"/>
      <c r="P27" s="26"/>
      <c r="Q27" s="173"/>
      <c r="R27" s="26"/>
      <c r="S27" s="26"/>
      <c r="T27" s="26"/>
      <c r="U27" s="173"/>
      <c r="V27" s="173"/>
      <c r="W27" s="173"/>
      <c r="X27" s="173"/>
      <c r="Y27" s="173"/>
      <c r="Z27" s="173"/>
      <c r="AA27" s="173"/>
      <c r="AB27" s="173"/>
      <c r="AC27" s="173"/>
      <c r="AD27" s="173"/>
      <c r="AE27" s="173"/>
      <c r="AF27" s="173"/>
      <c r="AG27" s="3"/>
      <c r="AH27" s="3"/>
      <c r="AI27" s="3"/>
      <c r="AJ27" s="3"/>
      <c r="AK27" s="3"/>
      <c r="AL27" s="3"/>
      <c r="AM27" s="3"/>
      <c r="AN27" s="3"/>
    </row>
    <row r="28" spans="1:55" x14ac:dyDescent="0.3">
      <c r="A28" s="3"/>
      <c r="B28" s="3"/>
      <c r="C28" s="3"/>
      <c r="D28" s="3"/>
      <c r="E28" s="40" t="s">
        <v>446</v>
      </c>
      <c r="F28" s="174"/>
      <c r="G28" s="172"/>
      <c r="H28" s="172"/>
      <c r="I28" s="175">
        <f>ROUNDUP((1-I29)*I27,0)</f>
        <v>0</v>
      </c>
      <c r="J28" s="175">
        <f t="shared" ref="J28:K28" si="9">ROUNDUP((1-J29)*J27,0)</f>
        <v>0</v>
      </c>
      <c r="K28" s="175">
        <f t="shared" si="9"/>
        <v>0</v>
      </c>
      <c r="L28" s="175">
        <f t="shared" ref="L28:AF28" si="10">ROUNDUP(L27*$C$10,0)</f>
        <v>0</v>
      </c>
      <c r="M28" s="175">
        <f t="shared" si="10"/>
        <v>0</v>
      </c>
      <c r="N28" s="175">
        <f t="shared" si="10"/>
        <v>0</v>
      </c>
      <c r="O28" s="175">
        <f t="shared" si="10"/>
        <v>0</v>
      </c>
      <c r="P28" s="175">
        <f t="shared" si="10"/>
        <v>0</v>
      </c>
      <c r="Q28" s="175">
        <f t="shared" si="10"/>
        <v>0</v>
      </c>
      <c r="R28" s="175">
        <f t="shared" si="10"/>
        <v>0</v>
      </c>
      <c r="S28" s="175">
        <f t="shared" si="10"/>
        <v>0</v>
      </c>
      <c r="T28" s="175">
        <f t="shared" si="10"/>
        <v>0</v>
      </c>
      <c r="U28" s="26">
        <f t="shared" si="10"/>
        <v>0</v>
      </c>
      <c r="V28" s="26">
        <f t="shared" si="10"/>
        <v>0</v>
      </c>
      <c r="W28" s="26">
        <f t="shared" si="10"/>
        <v>0</v>
      </c>
      <c r="X28" s="26">
        <f t="shared" si="10"/>
        <v>0</v>
      </c>
      <c r="Y28" s="26">
        <f t="shared" si="10"/>
        <v>0</v>
      </c>
      <c r="Z28" s="26">
        <f t="shared" si="10"/>
        <v>0</v>
      </c>
      <c r="AA28" s="26">
        <f t="shared" si="10"/>
        <v>0</v>
      </c>
      <c r="AB28" s="26">
        <f t="shared" si="10"/>
        <v>0</v>
      </c>
      <c r="AC28" s="26">
        <f t="shared" si="10"/>
        <v>0</v>
      </c>
      <c r="AD28" s="26">
        <f t="shared" si="10"/>
        <v>0</v>
      </c>
      <c r="AE28" s="26">
        <f t="shared" si="10"/>
        <v>0</v>
      </c>
      <c r="AF28" s="26">
        <f t="shared" si="10"/>
        <v>0</v>
      </c>
      <c r="AG28" s="3"/>
      <c r="AH28" s="3"/>
      <c r="AI28" s="3"/>
      <c r="AJ28" s="3"/>
      <c r="AK28" s="3"/>
      <c r="AL28" s="3"/>
      <c r="AM28" s="3"/>
      <c r="AN28" s="3"/>
    </row>
    <row r="29" spans="1:55" x14ac:dyDescent="0.3">
      <c r="A29" s="3"/>
      <c r="B29" s="3"/>
      <c r="C29" s="3"/>
      <c r="D29" s="3"/>
      <c r="E29" s="40" t="s">
        <v>508</v>
      </c>
      <c r="F29" s="174"/>
      <c r="G29" s="172"/>
      <c r="H29" s="172"/>
      <c r="I29" s="709">
        <v>0.4</v>
      </c>
      <c r="J29" s="709">
        <v>0.4</v>
      </c>
      <c r="K29" s="709">
        <v>0.4</v>
      </c>
      <c r="L29" s="26"/>
      <c r="M29" s="26"/>
      <c r="N29" s="26"/>
      <c r="O29" s="26"/>
      <c r="P29" s="26"/>
      <c r="Q29" s="26"/>
      <c r="R29" s="26"/>
      <c r="S29" s="26"/>
      <c r="T29" s="26"/>
      <c r="U29" s="26"/>
      <c r="V29" s="26"/>
      <c r="W29" s="26"/>
      <c r="X29" s="26"/>
      <c r="Y29" s="26"/>
      <c r="Z29" s="26"/>
      <c r="AA29" s="26"/>
      <c r="AB29" s="26"/>
      <c r="AC29" s="26"/>
      <c r="AD29" s="26"/>
      <c r="AE29" s="26"/>
      <c r="AF29" s="26"/>
      <c r="AG29" s="3"/>
      <c r="AH29" s="3"/>
      <c r="AI29" s="3"/>
      <c r="AJ29" s="3"/>
      <c r="AK29" s="3"/>
      <c r="AL29" s="3"/>
      <c r="AM29" s="3"/>
      <c r="AN29" s="3"/>
    </row>
    <row r="30" spans="1:55" x14ac:dyDescent="0.3">
      <c r="A30" s="3"/>
      <c r="B30" s="3"/>
      <c r="C30" s="3"/>
      <c r="D30" s="3"/>
      <c r="E30" s="40"/>
      <c r="F30" s="172"/>
      <c r="G30" s="172"/>
      <c r="H30" s="172"/>
      <c r="I30" s="26"/>
      <c r="J30" s="26"/>
      <c r="K30" s="26"/>
      <c r="L30" s="26"/>
      <c r="M30" s="26"/>
      <c r="N30" s="26"/>
      <c r="O30" s="26"/>
      <c r="P30" s="26"/>
      <c r="Q30" s="173"/>
      <c r="R30" s="26"/>
      <c r="S30" s="26"/>
      <c r="T30" s="26"/>
      <c r="U30" s="26"/>
      <c r="V30" s="26"/>
      <c r="W30" s="26"/>
      <c r="X30" s="26"/>
      <c r="Y30" s="26"/>
      <c r="Z30" s="26"/>
      <c r="AA30" s="26"/>
      <c r="AB30" s="26"/>
      <c r="AC30" s="26"/>
      <c r="AD30" s="26"/>
      <c r="AE30" s="26"/>
      <c r="AF30" s="26"/>
      <c r="AG30" s="3"/>
      <c r="AH30" s="3"/>
      <c r="AI30" s="3"/>
      <c r="AJ30" s="3"/>
      <c r="AK30" s="3"/>
      <c r="AL30" s="3"/>
      <c r="AM30" s="3"/>
      <c r="AN30" s="3"/>
    </row>
    <row r="31" spans="1:55" x14ac:dyDescent="0.3">
      <c r="A31" s="3"/>
      <c r="B31" s="3"/>
      <c r="C31" s="3"/>
      <c r="D31" s="3"/>
      <c r="E31" s="40" t="s">
        <v>447</v>
      </c>
      <c r="F31" s="172"/>
      <c r="G31" s="172"/>
      <c r="H31" s="172"/>
      <c r="I31" s="175">
        <v>80</v>
      </c>
      <c r="J31" s="175">
        <v>90</v>
      </c>
      <c r="K31" s="175">
        <v>90</v>
      </c>
      <c r="L31" s="175">
        <v>85</v>
      </c>
      <c r="M31" s="175">
        <v>70</v>
      </c>
      <c r="N31" s="175">
        <v>70</v>
      </c>
      <c r="O31" s="175">
        <v>75</v>
      </c>
      <c r="P31" s="175">
        <v>75</v>
      </c>
      <c r="Q31" s="175">
        <v>75</v>
      </c>
      <c r="R31" s="175">
        <v>75</v>
      </c>
      <c r="S31" s="175">
        <v>75</v>
      </c>
      <c r="T31" s="175">
        <v>75</v>
      </c>
      <c r="U31" s="175">
        <v>75</v>
      </c>
      <c r="V31" s="175">
        <v>85</v>
      </c>
      <c r="W31" s="175">
        <v>50</v>
      </c>
      <c r="X31" s="175">
        <v>55</v>
      </c>
      <c r="Y31" s="175">
        <v>55</v>
      </c>
      <c r="Z31" s="175">
        <v>60</v>
      </c>
      <c r="AA31" s="175">
        <v>60</v>
      </c>
      <c r="AB31" s="175">
        <v>55</v>
      </c>
      <c r="AC31" s="175">
        <v>50</v>
      </c>
      <c r="AD31" s="175">
        <v>40</v>
      </c>
      <c r="AE31" s="175">
        <v>30</v>
      </c>
      <c r="AF31" s="175">
        <v>30</v>
      </c>
      <c r="AG31" s="3"/>
      <c r="AH31" s="3"/>
      <c r="AI31" s="3"/>
      <c r="AJ31" s="3"/>
      <c r="AK31" s="3"/>
      <c r="AL31" s="3"/>
      <c r="AM31" s="3"/>
      <c r="AN31" s="3"/>
    </row>
    <row r="32" spans="1:55" x14ac:dyDescent="0.3">
      <c r="A32" s="3"/>
      <c r="B32" s="3"/>
      <c r="C32" s="3"/>
      <c r="D32" s="3"/>
      <c r="E32" s="40" t="s">
        <v>448</v>
      </c>
      <c r="F32" s="172"/>
      <c r="G32" s="172"/>
      <c r="H32" s="172"/>
      <c r="I32" s="26">
        <f>ROUNDDOWN($C$8*I31,0)</f>
        <v>20</v>
      </c>
      <c r="J32" s="26">
        <f t="shared" ref="J32:AF32" si="11">ROUNDDOWN($C$8*J31,0)</f>
        <v>22</v>
      </c>
      <c r="K32" s="26">
        <f t="shared" si="11"/>
        <v>22</v>
      </c>
      <c r="L32" s="26">
        <f t="shared" si="11"/>
        <v>21</v>
      </c>
      <c r="M32" s="26">
        <f t="shared" si="11"/>
        <v>17</v>
      </c>
      <c r="N32" s="26">
        <f t="shared" si="11"/>
        <v>17</v>
      </c>
      <c r="O32" s="26">
        <f t="shared" si="11"/>
        <v>18</v>
      </c>
      <c r="P32" s="26">
        <f t="shared" si="11"/>
        <v>18</v>
      </c>
      <c r="Q32" s="26">
        <f t="shared" si="11"/>
        <v>18</v>
      </c>
      <c r="R32" s="26">
        <f t="shared" si="11"/>
        <v>18</v>
      </c>
      <c r="S32" s="26">
        <f t="shared" si="11"/>
        <v>18</v>
      </c>
      <c r="T32" s="26">
        <f t="shared" si="11"/>
        <v>18</v>
      </c>
      <c r="U32" s="26">
        <f t="shared" si="11"/>
        <v>18</v>
      </c>
      <c r="V32" s="26">
        <f t="shared" si="11"/>
        <v>21</v>
      </c>
      <c r="W32" s="26">
        <f t="shared" si="11"/>
        <v>12</v>
      </c>
      <c r="X32" s="26">
        <f t="shared" si="11"/>
        <v>13</v>
      </c>
      <c r="Y32" s="26">
        <f t="shared" si="11"/>
        <v>13</v>
      </c>
      <c r="Z32" s="26">
        <f t="shared" si="11"/>
        <v>15</v>
      </c>
      <c r="AA32" s="26">
        <f t="shared" si="11"/>
        <v>15</v>
      </c>
      <c r="AB32" s="26">
        <f t="shared" si="11"/>
        <v>13</v>
      </c>
      <c r="AC32" s="26">
        <f t="shared" si="11"/>
        <v>12</v>
      </c>
      <c r="AD32" s="26">
        <f t="shared" si="11"/>
        <v>10</v>
      </c>
      <c r="AE32" s="26">
        <f t="shared" si="11"/>
        <v>7</v>
      </c>
      <c r="AF32" s="26">
        <f t="shared" si="11"/>
        <v>7</v>
      </c>
      <c r="AG32" s="3"/>
      <c r="AH32" s="3"/>
      <c r="AI32" s="3"/>
      <c r="AJ32" s="3"/>
      <c r="AK32" s="3"/>
      <c r="AL32" s="3"/>
      <c r="AM32" s="3"/>
      <c r="AN32" s="3"/>
    </row>
    <row r="33" spans="1:40" x14ac:dyDescent="0.3">
      <c r="A33" s="3"/>
      <c r="B33" s="3"/>
      <c r="C33" s="3"/>
      <c r="D33" s="3"/>
      <c r="E33" s="40"/>
      <c r="F33" s="172"/>
      <c r="G33" s="172"/>
      <c r="H33" s="172"/>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3"/>
      <c r="AH33" s="3"/>
      <c r="AI33" s="3"/>
      <c r="AJ33" s="3"/>
      <c r="AK33" s="3"/>
      <c r="AL33" s="3"/>
      <c r="AM33" s="3"/>
      <c r="AN33" s="3"/>
    </row>
    <row r="34" spans="1:40" x14ac:dyDescent="0.3">
      <c r="A34" s="3"/>
      <c r="B34" s="3"/>
      <c r="C34" s="3"/>
      <c r="D34" s="3"/>
      <c r="E34" s="40"/>
      <c r="F34" s="172"/>
      <c r="G34" s="172"/>
      <c r="H34" s="172"/>
      <c r="I34" s="26"/>
      <c r="J34" s="26"/>
      <c r="K34" s="26"/>
      <c r="L34" s="26"/>
      <c r="M34" s="26"/>
      <c r="N34" s="26"/>
      <c r="O34" s="26"/>
      <c r="P34" s="26"/>
      <c r="Q34" s="173"/>
      <c r="R34" s="26"/>
      <c r="S34" s="26"/>
      <c r="T34" s="26"/>
      <c r="U34" s="26"/>
      <c r="V34" s="26"/>
      <c r="W34" s="26"/>
      <c r="X34" s="26"/>
      <c r="Y34" s="26"/>
      <c r="Z34" s="26"/>
      <c r="AA34" s="26"/>
      <c r="AB34" s="26"/>
      <c r="AC34" s="26"/>
      <c r="AD34" s="26"/>
      <c r="AE34" s="26"/>
      <c r="AF34" s="26"/>
      <c r="AG34" s="3"/>
      <c r="AH34" s="3"/>
      <c r="AI34" s="3"/>
      <c r="AJ34" s="3"/>
      <c r="AK34" s="3"/>
      <c r="AL34" s="3"/>
      <c r="AM34" s="3"/>
      <c r="AN34" s="3"/>
    </row>
    <row r="35" spans="1:40" x14ac:dyDescent="0.3">
      <c r="A35" s="3"/>
      <c r="B35" s="3"/>
      <c r="C35" s="3"/>
      <c r="D35" s="3"/>
      <c r="E35" s="40" t="s">
        <v>449</v>
      </c>
      <c r="F35" s="172"/>
      <c r="G35" s="172"/>
      <c r="H35" s="172"/>
      <c r="I35" s="26">
        <f t="shared" ref="I35:AF35" si="12">I32-I28</f>
        <v>20</v>
      </c>
      <c r="J35" s="26">
        <f t="shared" si="12"/>
        <v>22</v>
      </c>
      <c r="K35" s="26">
        <f t="shared" si="12"/>
        <v>22</v>
      </c>
      <c r="L35" s="26">
        <f t="shared" si="12"/>
        <v>21</v>
      </c>
      <c r="M35" s="26">
        <f t="shared" si="12"/>
        <v>17</v>
      </c>
      <c r="N35" s="26">
        <f t="shared" si="12"/>
        <v>17</v>
      </c>
      <c r="O35" s="26">
        <f t="shared" si="12"/>
        <v>18</v>
      </c>
      <c r="P35" s="26">
        <f t="shared" si="12"/>
        <v>18</v>
      </c>
      <c r="Q35" s="173">
        <f t="shared" si="12"/>
        <v>18</v>
      </c>
      <c r="R35" s="26">
        <f t="shared" si="12"/>
        <v>18</v>
      </c>
      <c r="S35" s="26">
        <f t="shared" si="12"/>
        <v>18</v>
      </c>
      <c r="T35" s="26">
        <f t="shared" si="12"/>
        <v>18</v>
      </c>
      <c r="U35" s="26">
        <f t="shared" si="12"/>
        <v>18</v>
      </c>
      <c r="V35" s="26">
        <f t="shared" si="12"/>
        <v>21</v>
      </c>
      <c r="W35" s="26">
        <f t="shared" si="12"/>
        <v>12</v>
      </c>
      <c r="X35" s="26">
        <f t="shared" si="12"/>
        <v>13</v>
      </c>
      <c r="Y35" s="26">
        <f t="shared" si="12"/>
        <v>13</v>
      </c>
      <c r="Z35" s="26">
        <f t="shared" si="12"/>
        <v>15</v>
      </c>
      <c r="AA35" s="26">
        <f t="shared" si="12"/>
        <v>15</v>
      </c>
      <c r="AB35" s="26">
        <f t="shared" si="12"/>
        <v>13</v>
      </c>
      <c r="AC35" s="26">
        <f t="shared" si="12"/>
        <v>12</v>
      </c>
      <c r="AD35" s="26">
        <f t="shared" si="12"/>
        <v>10</v>
      </c>
      <c r="AE35" s="26">
        <f t="shared" si="12"/>
        <v>7</v>
      </c>
      <c r="AF35" s="26">
        <f t="shared" si="12"/>
        <v>7</v>
      </c>
      <c r="AG35" s="3"/>
      <c r="AH35" s="3"/>
      <c r="AI35" s="3"/>
      <c r="AJ35" s="3"/>
      <c r="AK35" s="3"/>
      <c r="AL35" s="3"/>
      <c r="AM35" s="3"/>
      <c r="AN35" s="3"/>
    </row>
    <row r="36" spans="1:40" x14ac:dyDescent="0.3">
      <c r="A36" s="3"/>
      <c r="B36" s="3"/>
      <c r="C36" s="3"/>
      <c r="D36" s="3"/>
      <c r="E36" s="40"/>
      <c r="F36" s="172"/>
      <c r="G36" s="172"/>
      <c r="H36" s="172"/>
      <c r="I36" s="26"/>
      <c r="J36" s="26"/>
      <c r="K36" s="26"/>
      <c r="L36" s="26"/>
      <c r="M36" s="26"/>
      <c r="N36" s="26"/>
      <c r="O36" s="26"/>
      <c r="P36" s="26"/>
      <c r="Q36" s="173"/>
      <c r="R36" s="26"/>
      <c r="S36" s="26"/>
      <c r="T36" s="26"/>
      <c r="U36" s="26"/>
      <c r="V36" s="26"/>
      <c r="W36" s="26"/>
      <c r="X36" s="26"/>
      <c r="Y36" s="26"/>
      <c r="Z36" s="26"/>
      <c r="AA36" s="26"/>
      <c r="AB36" s="26"/>
      <c r="AC36" s="26"/>
      <c r="AD36" s="26"/>
      <c r="AE36" s="26"/>
      <c r="AF36" s="26"/>
      <c r="AG36" s="3"/>
      <c r="AH36" s="3"/>
      <c r="AI36" s="3"/>
      <c r="AJ36" s="3"/>
      <c r="AK36" s="3"/>
      <c r="AL36" s="3"/>
      <c r="AM36" s="3"/>
      <c r="AN36" s="3"/>
    </row>
    <row r="37" spans="1:40" x14ac:dyDescent="0.3">
      <c r="A37" s="3"/>
      <c r="B37" s="3"/>
      <c r="C37" s="3"/>
      <c r="D37" s="3"/>
      <c r="E37" s="40" t="s">
        <v>422</v>
      </c>
      <c r="F37" s="172"/>
      <c r="G37" s="172"/>
      <c r="H37" s="172" t="e">
        <f>ROUNDUP((1+'Proforma (Annual)'!N15)*'Proforma (Annual)'!C4,0)</f>
        <v>#DIV/0!</v>
      </c>
      <c r="I37" s="176" t="e">
        <f>+H37</f>
        <v>#DIV/0!</v>
      </c>
      <c r="J37" s="176" t="e">
        <f>+I37+I35</f>
        <v>#DIV/0!</v>
      </c>
      <c r="K37" s="176" t="e">
        <f t="shared" ref="K37:T37" si="13">+J37+J35</f>
        <v>#DIV/0!</v>
      </c>
      <c r="L37" s="176" t="e">
        <f t="shared" si="13"/>
        <v>#DIV/0!</v>
      </c>
      <c r="M37" s="176" t="e">
        <f t="shared" si="13"/>
        <v>#DIV/0!</v>
      </c>
      <c r="N37" s="176" t="e">
        <f t="shared" si="13"/>
        <v>#DIV/0!</v>
      </c>
      <c r="O37" s="176" t="e">
        <f t="shared" si="13"/>
        <v>#DIV/0!</v>
      </c>
      <c r="P37" s="176" t="e">
        <f t="shared" si="13"/>
        <v>#DIV/0!</v>
      </c>
      <c r="Q37" s="176" t="e">
        <f t="shared" si="13"/>
        <v>#DIV/0!</v>
      </c>
      <c r="R37" s="176" t="e">
        <f t="shared" si="13"/>
        <v>#DIV/0!</v>
      </c>
      <c r="S37" s="176" t="e">
        <f t="shared" si="13"/>
        <v>#DIV/0!</v>
      </c>
      <c r="T37" s="176" t="e">
        <f t="shared" si="13"/>
        <v>#DIV/0!</v>
      </c>
      <c r="U37" s="176" t="e">
        <f t="shared" ref="U37:AF37" si="14">+T37+U35</f>
        <v>#DIV/0!</v>
      </c>
      <c r="V37" s="176" t="e">
        <f t="shared" si="14"/>
        <v>#DIV/0!</v>
      </c>
      <c r="W37" s="176" t="e">
        <f t="shared" si="14"/>
        <v>#DIV/0!</v>
      </c>
      <c r="X37" s="176" t="e">
        <f t="shared" si="14"/>
        <v>#DIV/0!</v>
      </c>
      <c r="Y37" s="176" t="e">
        <f t="shared" si="14"/>
        <v>#DIV/0!</v>
      </c>
      <c r="Z37" s="176" t="e">
        <f t="shared" si="14"/>
        <v>#DIV/0!</v>
      </c>
      <c r="AA37" s="176" t="e">
        <f t="shared" si="14"/>
        <v>#DIV/0!</v>
      </c>
      <c r="AB37" s="176" t="e">
        <f t="shared" si="14"/>
        <v>#DIV/0!</v>
      </c>
      <c r="AC37" s="176" t="e">
        <f t="shared" si="14"/>
        <v>#DIV/0!</v>
      </c>
      <c r="AD37" s="176" t="e">
        <f t="shared" si="14"/>
        <v>#DIV/0!</v>
      </c>
      <c r="AE37" s="176" t="e">
        <f t="shared" si="14"/>
        <v>#DIV/0!</v>
      </c>
      <c r="AF37" s="176" t="e">
        <f t="shared" si="14"/>
        <v>#DIV/0!</v>
      </c>
      <c r="AG37" s="3"/>
      <c r="AH37" s="3"/>
      <c r="AI37" s="3"/>
      <c r="AJ37" s="3"/>
      <c r="AK37" s="3"/>
      <c r="AL37" s="3"/>
      <c r="AM37" s="3"/>
      <c r="AN37" s="3"/>
    </row>
    <row r="38" spans="1:40" x14ac:dyDescent="0.3">
      <c r="A38" s="3"/>
      <c r="B38" s="3"/>
      <c r="C38" s="3"/>
      <c r="D38" s="3"/>
      <c r="E38" s="40" t="s">
        <v>507</v>
      </c>
      <c r="F38" s="170"/>
      <c r="G38" s="170"/>
      <c r="H38" s="170"/>
      <c r="I38" s="176">
        <f>+C4/B4</f>
        <v>0</v>
      </c>
      <c r="J38" s="176">
        <f>+I38</f>
        <v>0</v>
      </c>
      <c r="K38" s="176">
        <f t="shared" ref="K38:AF38" si="15">+J38</f>
        <v>0</v>
      </c>
      <c r="L38" s="176">
        <f t="shared" si="15"/>
        <v>0</v>
      </c>
      <c r="M38" s="176">
        <f t="shared" si="15"/>
        <v>0</v>
      </c>
      <c r="N38" s="176">
        <f t="shared" si="15"/>
        <v>0</v>
      </c>
      <c r="O38" s="176">
        <f t="shared" si="15"/>
        <v>0</v>
      </c>
      <c r="P38" s="176">
        <f t="shared" si="15"/>
        <v>0</v>
      </c>
      <c r="Q38" s="176">
        <f t="shared" si="15"/>
        <v>0</v>
      </c>
      <c r="R38" s="176">
        <f t="shared" si="15"/>
        <v>0</v>
      </c>
      <c r="S38" s="176">
        <f t="shared" si="15"/>
        <v>0</v>
      </c>
      <c r="T38" s="176">
        <f t="shared" si="15"/>
        <v>0</v>
      </c>
      <c r="U38" s="176">
        <f t="shared" si="15"/>
        <v>0</v>
      </c>
      <c r="V38" s="176">
        <f t="shared" si="15"/>
        <v>0</v>
      </c>
      <c r="W38" s="176">
        <f t="shared" si="15"/>
        <v>0</v>
      </c>
      <c r="X38" s="176">
        <f t="shared" si="15"/>
        <v>0</v>
      </c>
      <c r="Y38" s="176">
        <f t="shared" si="15"/>
        <v>0</v>
      </c>
      <c r="Z38" s="176">
        <f t="shared" si="15"/>
        <v>0</v>
      </c>
      <c r="AA38" s="176">
        <f t="shared" si="15"/>
        <v>0</v>
      </c>
      <c r="AB38" s="176">
        <f t="shared" si="15"/>
        <v>0</v>
      </c>
      <c r="AC38" s="176">
        <f t="shared" si="15"/>
        <v>0</v>
      </c>
      <c r="AD38" s="176">
        <f t="shared" si="15"/>
        <v>0</v>
      </c>
      <c r="AE38" s="176">
        <f t="shared" si="15"/>
        <v>0</v>
      </c>
      <c r="AF38" s="176">
        <f t="shared" si="15"/>
        <v>0</v>
      </c>
      <c r="AG38" s="3"/>
      <c r="AH38" s="3"/>
      <c r="AI38" s="3"/>
      <c r="AJ38" s="3"/>
      <c r="AK38" s="3"/>
      <c r="AL38" s="3"/>
      <c r="AM38" s="3"/>
      <c r="AN38" s="3"/>
    </row>
    <row r="39" spans="1:40" x14ac:dyDescent="0.3">
      <c r="A39" s="3"/>
      <c r="B39" s="3"/>
      <c r="C39" s="3"/>
      <c r="D39" s="3"/>
      <c r="E39" s="40" t="s">
        <v>450</v>
      </c>
      <c r="F39" s="172"/>
      <c r="G39" s="172"/>
      <c r="H39" s="172"/>
      <c r="I39" s="157" t="e">
        <f t="shared" ref="I39:AF39" si="16">+I37/I38</f>
        <v>#DIV/0!</v>
      </c>
      <c r="J39" s="157" t="e">
        <f t="shared" si="16"/>
        <v>#DIV/0!</v>
      </c>
      <c r="K39" s="157" t="e">
        <f t="shared" si="16"/>
        <v>#DIV/0!</v>
      </c>
      <c r="L39" s="157" t="e">
        <f t="shared" si="16"/>
        <v>#DIV/0!</v>
      </c>
      <c r="M39" s="157" t="e">
        <f t="shared" si="16"/>
        <v>#DIV/0!</v>
      </c>
      <c r="N39" s="157" t="e">
        <f t="shared" si="16"/>
        <v>#DIV/0!</v>
      </c>
      <c r="O39" s="157" t="e">
        <f t="shared" si="16"/>
        <v>#DIV/0!</v>
      </c>
      <c r="P39" s="157" t="e">
        <f t="shared" si="16"/>
        <v>#DIV/0!</v>
      </c>
      <c r="Q39" s="157" t="e">
        <f t="shared" si="16"/>
        <v>#DIV/0!</v>
      </c>
      <c r="R39" s="157" t="e">
        <f t="shared" si="16"/>
        <v>#DIV/0!</v>
      </c>
      <c r="S39" s="157" t="e">
        <f t="shared" si="16"/>
        <v>#DIV/0!</v>
      </c>
      <c r="T39" s="157" t="e">
        <f t="shared" si="16"/>
        <v>#DIV/0!</v>
      </c>
      <c r="U39" s="157" t="e">
        <f t="shared" si="16"/>
        <v>#DIV/0!</v>
      </c>
      <c r="V39" s="157" t="e">
        <f t="shared" si="16"/>
        <v>#DIV/0!</v>
      </c>
      <c r="W39" s="157" t="e">
        <f t="shared" si="16"/>
        <v>#DIV/0!</v>
      </c>
      <c r="X39" s="157" t="e">
        <f t="shared" si="16"/>
        <v>#DIV/0!</v>
      </c>
      <c r="Y39" s="157" t="e">
        <f t="shared" si="16"/>
        <v>#DIV/0!</v>
      </c>
      <c r="Z39" s="157" t="e">
        <f t="shared" si="16"/>
        <v>#DIV/0!</v>
      </c>
      <c r="AA39" s="157" t="e">
        <f t="shared" si="16"/>
        <v>#DIV/0!</v>
      </c>
      <c r="AB39" s="157" t="e">
        <f t="shared" si="16"/>
        <v>#DIV/0!</v>
      </c>
      <c r="AC39" s="157" t="e">
        <f t="shared" si="16"/>
        <v>#DIV/0!</v>
      </c>
      <c r="AD39" s="157" t="e">
        <f t="shared" si="16"/>
        <v>#DIV/0!</v>
      </c>
      <c r="AE39" s="157" t="e">
        <f t="shared" si="16"/>
        <v>#DIV/0!</v>
      </c>
      <c r="AF39" s="157" t="e">
        <f t="shared" si="16"/>
        <v>#DIV/0!</v>
      </c>
      <c r="AG39" s="3"/>
      <c r="AH39" s="3"/>
      <c r="AI39" s="3"/>
      <c r="AJ39" s="3"/>
      <c r="AK39" s="3"/>
      <c r="AL39" s="3"/>
      <c r="AM39" s="3"/>
      <c r="AN39" s="3"/>
    </row>
    <row r="40" spans="1:40" hidden="1" x14ac:dyDescent="0.3">
      <c r="A40" s="3"/>
      <c r="B40" s="3"/>
      <c r="C40" s="3"/>
      <c r="D40" s="3"/>
      <c r="E40" s="40"/>
      <c r="F40" s="172"/>
      <c r="G40" s="172"/>
      <c r="H40" s="172"/>
      <c r="I40" s="163"/>
      <c r="J40" s="163"/>
      <c r="K40" s="163"/>
      <c r="L40" s="163"/>
      <c r="M40" s="163"/>
      <c r="N40" s="163"/>
      <c r="O40" s="163"/>
      <c r="P40" s="163"/>
      <c r="Q40" s="177"/>
      <c r="R40" s="163"/>
      <c r="S40" s="163"/>
      <c r="T40" s="163"/>
      <c r="U40" s="163"/>
      <c r="V40" s="163"/>
      <c r="W40" s="163"/>
      <c r="X40" s="163"/>
      <c r="Y40" s="163"/>
      <c r="Z40" s="163"/>
      <c r="AA40" s="163"/>
      <c r="AB40" s="163"/>
      <c r="AC40" s="163"/>
      <c r="AD40" s="163"/>
      <c r="AE40" s="163"/>
      <c r="AF40" s="163"/>
      <c r="AG40" s="3"/>
      <c r="AH40" s="3"/>
      <c r="AI40" s="3"/>
      <c r="AJ40" s="3"/>
      <c r="AK40" s="3"/>
      <c r="AL40" s="3"/>
      <c r="AM40" s="3"/>
      <c r="AN40" s="3"/>
    </row>
    <row r="41" spans="1:40" hidden="1" x14ac:dyDescent="0.3">
      <c r="A41" s="3"/>
      <c r="B41" s="3"/>
      <c r="C41" s="3"/>
      <c r="D41" s="3"/>
      <c r="E41" s="40" t="s">
        <v>52</v>
      </c>
      <c r="F41" s="172"/>
      <c r="G41" s="172"/>
      <c r="H41" s="172"/>
      <c r="I41" s="135">
        <f>IFERROR(I37*$B$10,0)</f>
        <v>0</v>
      </c>
      <c r="J41" s="135">
        <f t="shared" ref="J41:AF41" si="17">IFERROR(J37*$B$10,0)</f>
        <v>0</v>
      </c>
      <c r="K41" s="135">
        <f t="shared" si="17"/>
        <v>0</v>
      </c>
      <c r="L41" s="135">
        <f t="shared" si="17"/>
        <v>0</v>
      </c>
      <c r="M41" s="135">
        <f t="shared" si="17"/>
        <v>0</v>
      </c>
      <c r="N41" s="135">
        <f t="shared" si="17"/>
        <v>0</v>
      </c>
      <c r="O41" s="135">
        <f t="shared" si="17"/>
        <v>0</v>
      </c>
      <c r="P41" s="135">
        <f t="shared" si="17"/>
        <v>0</v>
      </c>
      <c r="Q41" s="135">
        <f t="shared" si="17"/>
        <v>0</v>
      </c>
      <c r="R41" s="135">
        <f t="shared" si="17"/>
        <v>0</v>
      </c>
      <c r="S41" s="135">
        <f t="shared" si="17"/>
        <v>0</v>
      </c>
      <c r="T41" s="135">
        <f t="shared" si="17"/>
        <v>0</v>
      </c>
      <c r="U41" s="135">
        <f t="shared" si="17"/>
        <v>0</v>
      </c>
      <c r="V41" s="135">
        <f t="shared" si="17"/>
        <v>0</v>
      </c>
      <c r="W41" s="135">
        <f t="shared" si="17"/>
        <v>0</v>
      </c>
      <c r="X41" s="135">
        <f t="shared" si="17"/>
        <v>0</v>
      </c>
      <c r="Y41" s="135">
        <f t="shared" si="17"/>
        <v>0</v>
      </c>
      <c r="Z41" s="135">
        <f t="shared" si="17"/>
        <v>0</v>
      </c>
      <c r="AA41" s="135">
        <f t="shared" si="17"/>
        <v>0</v>
      </c>
      <c r="AB41" s="135">
        <f t="shared" si="17"/>
        <v>0</v>
      </c>
      <c r="AC41" s="135">
        <f t="shared" si="17"/>
        <v>0</v>
      </c>
      <c r="AD41" s="135">
        <f t="shared" si="17"/>
        <v>0</v>
      </c>
      <c r="AE41" s="135">
        <f t="shared" si="17"/>
        <v>0</v>
      </c>
      <c r="AF41" s="135">
        <f t="shared" si="17"/>
        <v>0</v>
      </c>
      <c r="AG41" s="3"/>
      <c r="AH41" s="3"/>
      <c r="AI41" s="3"/>
      <c r="AJ41" s="3"/>
      <c r="AK41" s="3"/>
      <c r="AL41" s="3"/>
      <c r="AM41" s="3"/>
      <c r="AN41" s="3"/>
    </row>
    <row r="42" spans="1:40" s="3" customFormat="1" x14ac:dyDescent="0.3">
      <c r="E42" s="168"/>
      <c r="F42" s="168"/>
      <c r="G42" s="168"/>
      <c r="H42" s="168"/>
    </row>
    <row r="43" spans="1:40" s="3" customFormat="1" x14ac:dyDescent="0.3">
      <c r="E43" s="168"/>
      <c r="F43" s="168"/>
      <c r="G43" s="168"/>
      <c r="H43" s="168"/>
      <c r="I43" s="178" t="s">
        <v>509</v>
      </c>
      <c r="Y43" s="179"/>
      <c r="AF43" s="33"/>
    </row>
    <row r="44" spans="1:40" s="3" customFormat="1" x14ac:dyDescent="0.3">
      <c r="E44" s="168"/>
      <c r="F44" s="168"/>
      <c r="G44" s="168"/>
      <c r="H44" s="168"/>
      <c r="I44" s="178"/>
    </row>
    <row r="45" spans="1:40" s="3" customFormat="1" x14ac:dyDescent="0.3">
      <c r="I45" s="162" t="s">
        <v>510</v>
      </c>
    </row>
    <row r="46" spans="1:40" s="3" customFormat="1" x14ac:dyDescent="0.3">
      <c r="I46" s="162" t="s">
        <v>511</v>
      </c>
    </row>
    <row r="47" spans="1:40" s="3" customFormat="1" x14ac:dyDescent="0.3"/>
    <row r="48" spans="1:40" s="3" customFormat="1" x14ac:dyDescent="0.3"/>
    <row r="49" spans="1:4" s="3" customFormat="1" x14ac:dyDescent="0.3"/>
    <row r="50" spans="1:4" s="3" customFormat="1" x14ac:dyDescent="0.3"/>
    <row r="51" spans="1:4" s="3" customFormat="1" x14ac:dyDescent="0.3"/>
    <row r="52" spans="1:4" s="3" customFormat="1" x14ac:dyDescent="0.3"/>
    <row r="53" spans="1:4" s="3" customFormat="1" x14ac:dyDescent="0.3"/>
    <row r="54" spans="1:4" s="3" customFormat="1" x14ac:dyDescent="0.3"/>
    <row r="55" spans="1:4" s="3" customFormat="1" x14ac:dyDescent="0.3"/>
    <row r="56" spans="1:4" s="3" customFormat="1" x14ac:dyDescent="0.3"/>
    <row r="57" spans="1:4" s="3" customFormat="1" x14ac:dyDescent="0.3"/>
    <row r="58" spans="1:4" s="3" customFormat="1" x14ac:dyDescent="0.3"/>
    <row r="59" spans="1:4" s="3" customFormat="1" x14ac:dyDescent="0.3"/>
    <row r="60" spans="1:4" s="3" customFormat="1" x14ac:dyDescent="0.3"/>
    <row r="61" spans="1:4" s="3" customFormat="1" x14ac:dyDescent="0.3"/>
    <row r="62" spans="1:4" s="3" customFormat="1" x14ac:dyDescent="0.3"/>
    <row r="63" spans="1:4" x14ac:dyDescent="0.3">
      <c r="A63" s="3"/>
      <c r="B63" s="3"/>
      <c r="C63" s="3"/>
      <c r="D63" s="3"/>
    </row>
    <row r="64" spans="1:4" x14ac:dyDescent="0.3">
      <c r="A64" s="3"/>
      <c r="B64" s="3"/>
      <c r="C64" s="3"/>
      <c r="D64" s="3"/>
    </row>
    <row r="65" spans="1:4" x14ac:dyDescent="0.3">
      <c r="A65" s="3"/>
      <c r="B65" s="3"/>
      <c r="C65" s="3"/>
      <c r="D65" s="3"/>
    </row>
    <row r="66" spans="1:4" x14ac:dyDescent="0.3">
      <c r="A66" s="3"/>
      <c r="B66" s="3"/>
      <c r="C66" s="3"/>
      <c r="D66" s="3"/>
    </row>
    <row r="67" spans="1:4" x14ac:dyDescent="0.3">
      <c r="A67" s="3"/>
      <c r="B67" s="3"/>
      <c r="C67" s="3"/>
      <c r="D67" s="3"/>
    </row>
    <row r="68" spans="1:4" x14ac:dyDescent="0.3">
      <c r="A68" s="3"/>
      <c r="B68" s="3"/>
      <c r="C68" s="3"/>
      <c r="D68" s="3"/>
    </row>
    <row r="69" spans="1:4" x14ac:dyDescent="0.3">
      <c r="A69" s="3"/>
      <c r="B69" s="3"/>
      <c r="C69" s="3"/>
      <c r="D69" s="3"/>
    </row>
    <row r="70" spans="1:4" x14ac:dyDescent="0.3">
      <c r="A70" s="3"/>
      <c r="B70" s="3"/>
      <c r="C70" s="3"/>
      <c r="D70" s="3"/>
    </row>
    <row r="71" spans="1:4" x14ac:dyDescent="0.3">
      <c r="A71" s="3"/>
      <c r="B71" s="3"/>
      <c r="C71" s="3"/>
      <c r="D71" s="3"/>
    </row>
    <row r="72" spans="1:4" x14ac:dyDescent="0.3">
      <c r="A72" s="3"/>
      <c r="B72" s="3"/>
      <c r="C72" s="3"/>
      <c r="D72" s="3"/>
    </row>
    <row r="73" spans="1:4" x14ac:dyDescent="0.3">
      <c r="A73" s="3"/>
      <c r="B73" s="3"/>
      <c r="C73" s="3"/>
      <c r="D73" s="3"/>
    </row>
    <row r="74" spans="1:4" x14ac:dyDescent="0.3">
      <c r="A74" s="3"/>
      <c r="B74" s="3"/>
      <c r="C74" s="3"/>
      <c r="D74" s="3"/>
    </row>
    <row r="75" spans="1:4" x14ac:dyDescent="0.3">
      <c r="A75" s="3"/>
      <c r="B75" s="3"/>
      <c r="C75" s="3"/>
      <c r="D75" s="3"/>
    </row>
    <row r="76" spans="1:4" x14ac:dyDescent="0.3">
      <c r="A76" s="3"/>
      <c r="B76" s="3"/>
      <c r="C76" s="3"/>
      <c r="D76" s="3"/>
    </row>
    <row r="77" spans="1:4" x14ac:dyDescent="0.3">
      <c r="A77" s="3"/>
      <c r="B77" s="3"/>
      <c r="C77" s="3"/>
      <c r="D77" s="3"/>
    </row>
    <row r="78" spans="1:4" x14ac:dyDescent="0.3">
      <c r="A78" s="3"/>
      <c r="B78" s="3"/>
      <c r="C78" s="3"/>
      <c r="D78" s="3"/>
    </row>
    <row r="79" spans="1:4" x14ac:dyDescent="0.3">
      <c r="A79" s="3"/>
      <c r="B79" s="3"/>
      <c r="C79" s="3"/>
      <c r="D79" s="3"/>
    </row>
    <row r="80" spans="1:4" x14ac:dyDescent="0.3">
      <c r="A80" s="3"/>
      <c r="B80" s="3"/>
      <c r="C80" s="3"/>
      <c r="D80" s="3"/>
    </row>
    <row r="81" spans="1:4" x14ac:dyDescent="0.3">
      <c r="A81" s="3"/>
      <c r="B81" s="3"/>
      <c r="C81" s="3"/>
      <c r="D81" s="3"/>
    </row>
    <row r="82" spans="1:4" x14ac:dyDescent="0.3">
      <c r="A82" s="3"/>
      <c r="B82" s="3"/>
      <c r="C82" s="3"/>
      <c r="D82" s="3"/>
    </row>
  </sheetData>
  <mergeCells count="6">
    <mergeCell ref="F24:H24"/>
    <mergeCell ref="BB2:BD2"/>
    <mergeCell ref="BB3:BD3"/>
    <mergeCell ref="BB4:BD4"/>
    <mergeCell ref="BB5:BD5"/>
    <mergeCell ref="BB6:BC6"/>
  </mergeCells>
  <phoneticPr fontId="4" type="noConversion"/>
  <conditionalFormatting sqref="I39:AF39">
    <cfRule type="cellIs" dxfId="1" priority="1" operator="greaterThan">
      <formula>$B$4 - 3%</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901FC-378B-4928-8B59-DBF9BF15AC75}">
  <sheetPr>
    <tabColor rgb="FF002044"/>
  </sheetPr>
  <dimension ref="A1"/>
  <sheetViews>
    <sheetView workbookViewId="0">
      <selection activeCell="G8" sqref="G8"/>
    </sheetView>
  </sheetViews>
  <sheetFormatPr defaultRowHeight="14.4" x14ac:dyDescent="0.3"/>
  <cols>
    <col min="1" max="16384" width="8.88671875" style="670"/>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D74A-3A63-4462-9FD5-113368836AC4}">
  <sheetPr>
    <tabColor theme="6" tint="0.39997558519241921"/>
  </sheetPr>
  <dimension ref="C1:AC119"/>
  <sheetViews>
    <sheetView tabSelected="1" topLeftCell="A68" workbookViewId="0">
      <selection activeCell="K95" sqref="K95"/>
    </sheetView>
  </sheetViews>
  <sheetFormatPr defaultColWidth="8.88671875" defaultRowHeight="13.8" outlineLevelRow="1" outlineLevelCol="1" x14ac:dyDescent="0.3"/>
  <cols>
    <col min="1" max="1" width="20.44140625" style="3" customWidth="1"/>
    <col min="2" max="2" width="5.5546875" style="3" bestFit="1" customWidth="1"/>
    <col min="3" max="3" width="31.33203125" style="3" customWidth="1"/>
    <col min="4" max="4" width="17.77734375" style="3" customWidth="1"/>
    <col min="5" max="5" width="18.109375" style="3" customWidth="1" outlineLevel="1"/>
    <col min="6" max="6" width="16.6640625" style="3" bestFit="1" customWidth="1" outlineLevel="1"/>
    <col min="7" max="7" width="1.6640625" style="3" customWidth="1"/>
    <col min="8" max="8" width="16.5546875" style="3" customWidth="1" outlineLevel="1"/>
    <col min="9" max="9" width="16.6640625" style="3" customWidth="1" outlineLevel="1"/>
    <col min="10" max="10" width="1.5546875" style="3" customWidth="1"/>
    <col min="11" max="11" width="18.33203125" style="3" customWidth="1" outlineLevel="1"/>
    <col min="12" max="12" width="16.6640625" style="3" customWidth="1" outlineLevel="1"/>
    <col min="13" max="13" width="1.6640625" style="3" customWidth="1"/>
    <col min="14" max="14" width="16.5546875" style="3" customWidth="1" outlineLevel="1"/>
    <col min="15" max="15" width="16.6640625" style="3" customWidth="1" outlineLevel="1"/>
    <col min="16" max="16" width="1.88671875" style="3" customWidth="1"/>
    <col min="17" max="17" width="2.6640625" style="3" hidden="1" customWidth="1"/>
    <col min="18" max="18" width="18.33203125" style="3" hidden="1" customWidth="1" outlineLevel="1"/>
    <col min="19" max="19" width="14.6640625" style="3" hidden="1" customWidth="1" outlineLevel="1"/>
    <col min="20" max="20" width="3.33203125" style="3" customWidth="1" collapsed="1"/>
    <col min="21" max="21" width="10" style="3" customWidth="1"/>
    <col min="22" max="22" width="18.109375" style="3" customWidth="1"/>
    <col min="23" max="23" width="14.88671875" style="3" customWidth="1"/>
    <col min="24" max="24" width="1.88671875" style="3" customWidth="1"/>
    <col min="25" max="25" width="94.5546875" style="3" customWidth="1"/>
    <col min="26" max="26" width="8.88671875" style="3"/>
    <col min="27" max="27" width="14.6640625" style="3" bestFit="1" customWidth="1"/>
    <col min="28" max="29" width="13.88671875" style="3" bestFit="1" customWidth="1"/>
    <col min="30" max="16384" width="8.88671875" style="3"/>
  </cols>
  <sheetData>
    <row r="1" spans="3:27" x14ac:dyDescent="0.3">
      <c r="C1" s="23" t="s">
        <v>235</v>
      </c>
    </row>
    <row r="2" spans="3:27" x14ac:dyDescent="0.3">
      <c r="C2" s="180">
        <f>'T-12 Inputs'!C2</f>
        <v>0</v>
      </c>
    </row>
    <row r="3" spans="3:27" x14ac:dyDescent="0.3">
      <c r="C3" s="156" t="s">
        <v>74</v>
      </c>
      <c r="V3" s="33"/>
    </row>
    <row r="4" spans="3:27" x14ac:dyDescent="0.3">
      <c r="C4" s="183">
        <f>'Rent Schedule'!E31</f>
        <v>0</v>
      </c>
      <c r="D4" s="162"/>
      <c r="V4" s="33"/>
    </row>
    <row r="5" spans="3:27" ht="14.4" thickBot="1" x14ac:dyDescent="0.35">
      <c r="C5" s="32"/>
      <c r="D5" s="162"/>
      <c r="F5" s="33"/>
    </row>
    <row r="6" spans="3:27" ht="28.2" customHeight="1" thickTop="1" x14ac:dyDescent="0.3">
      <c r="E6" s="755" t="str">
        <f>CONCATENATE(C2,"- Annualized Financials")</f>
        <v>0- Annualized Financials</v>
      </c>
      <c r="F6" s="756"/>
      <c r="G6" s="756"/>
      <c r="H6" s="756"/>
      <c r="I6" s="756"/>
      <c r="J6" s="756"/>
      <c r="K6" s="756"/>
      <c r="L6" s="756"/>
      <c r="M6" s="756"/>
      <c r="N6" s="756"/>
      <c r="O6" s="756"/>
      <c r="P6" s="757"/>
      <c r="Q6" s="32"/>
      <c r="R6" s="758" t="s">
        <v>218</v>
      </c>
      <c r="S6" s="759"/>
      <c r="T6" s="301"/>
      <c r="U6" s="762" t="s">
        <v>196</v>
      </c>
      <c r="V6" s="763"/>
      <c r="W6" s="763"/>
      <c r="X6" s="739" t="s">
        <v>197</v>
      </c>
      <c r="Y6" s="740"/>
    </row>
    <row r="7" spans="3:27" ht="14.4" thickBot="1" x14ac:dyDescent="0.35">
      <c r="C7" s="213"/>
      <c r="D7" s="214"/>
      <c r="E7" s="745" t="s">
        <v>75</v>
      </c>
      <c r="F7" s="746"/>
      <c r="G7" s="302"/>
      <c r="H7" s="747" t="s">
        <v>220</v>
      </c>
      <c r="I7" s="747"/>
      <c r="J7" s="302"/>
      <c r="K7" s="748" t="s">
        <v>221</v>
      </c>
      <c r="L7" s="746"/>
      <c r="M7" s="302"/>
      <c r="N7" s="747" t="s">
        <v>222</v>
      </c>
      <c r="O7" s="747"/>
      <c r="P7" s="303"/>
      <c r="Q7" s="32"/>
      <c r="R7" s="760"/>
      <c r="S7" s="761"/>
      <c r="T7" s="304"/>
      <c r="U7" s="764"/>
      <c r="V7" s="765"/>
      <c r="W7" s="765"/>
      <c r="X7" s="741"/>
      <c r="Y7" s="742"/>
    </row>
    <row r="8" spans="3:27" ht="14.4" thickTop="1" x14ac:dyDescent="0.3">
      <c r="C8" s="772"/>
      <c r="D8" s="773"/>
      <c r="E8" s="751" t="s">
        <v>66</v>
      </c>
      <c r="F8" s="749" t="s">
        <v>67</v>
      </c>
      <c r="G8" s="307"/>
      <c r="H8" s="751" t="s">
        <v>66</v>
      </c>
      <c r="I8" s="751" t="s">
        <v>67</v>
      </c>
      <c r="J8" s="307"/>
      <c r="K8" s="753" t="s">
        <v>66</v>
      </c>
      <c r="L8" s="749" t="s">
        <v>67</v>
      </c>
      <c r="M8" s="307"/>
      <c r="N8" s="751" t="s">
        <v>66</v>
      </c>
      <c r="O8" s="751" t="s">
        <v>67</v>
      </c>
      <c r="P8" s="308"/>
      <c r="Q8" s="187"/>
      <c r="R8" s="766" t="s">
        <v>66</v>
      </c>
      <c r="S8" s="768" t="s">
        <v>67</v>
      </c>
      <c r="T8" s="304"/>
      <c r="U8" s="310"/>
      <c r="V8" s="770" t="s">
        <v>66</v>
      </c>
      <c r="W8" s="770" t="s">
        <v>67</v>
      </c>
      <c r="X8" s="741"/>
      <c r="Y8" s="742"/>
    </row>
    <row r="9" spans="3:27" ht="6" customHeight="1" x14ac:dyDescent="0.3">
      <c r="C9" s="196"/>
      <c r="D9" s="311"/>
      <c r="E9" s="767"/>
      <c r="F9" s="750"/>
      <c r="G9" s="307"/>
      <c r="H9" s="752"/>
      <c r="I9" s="752"/>
      <c r="J9" s="307"/>
      <c r="K9" s="754"/>
      <c r="L9" s="750"/>
      <c r="M9" s="307"/>
      <c r="N9" s="752"/>
      <c r="O9" s="751"/>
      <c r="P9" s="312"/>
      <c r="Q9" s="187"/>
      <c r="R9" s="767"/>
      <c r="S9" s="769"/>
      <c r="T9" s="304"/>
      <c r="U9" s="313"/>
      <c r="V9" s="752"/>
      <c r="W9" s="752"/>
      <c r="X9" s="743"/>
      <c r="Y9" s="744"/>
    </row>
    <row r="10" spans="3:27" x14ac:dyDescent="0.3">
      <c r="C10" s="292" t="s">
        <v>223</v>
      </c>
      <c r="E10" s="314" cm="1">
        <f t="array" ref="E10">+SUMPRODUCT('T-12 Inputs'!$D$7:$O$100*('T-12 Inputs'!$A$7:$A$100='OpStatement List - Dropdowns'!$I$5))</f>
        <v>0</v>
      </c>
      <c r="F10" s="315" t="e">
        <f>+E10/$C$4</f>
        <v>#DIV/0!</v>
      </c>
      <c r="G10" s="307"/>
      <c r="H10" s="194" cm="1">
        <f t="array" ref="H10">+SUMPRODUCT('T-12 Inputs'!$J$7:$O$100*('T-12 Inputs'!$A$7:$A$100='OpStatement List - Dropdowns'!$I$5))*2</f>
        <v>0</v>
      </c>
      <c r="I10" s="315" t="e">
        <f>+H10/$C$4</f>
        <v>#DIV/0!</v>
      </c>
      <c r="J10" s="307"/>
      <c r="K10" s="48" cm="1">
        <f t="array" ref="K10">+SUMPRODUCT('T-12 Inputs'!$M$7:$O$100*('T-12 Inputs'!$A$7:$A$100='OpStatement List - Dropdowns'!$I$5))*4</f>
        <v>0</v>
      </c>
      <c r="L10" s="315" t="e">
        <f>+K10/$C$4</f>
        <v>#DIV/0!</v>
      </c>
      <c r="M10" s="307"/>
      <c r="N10" s="194" cm="1">
        <f t="array" ref="N10">+SUMPRODUCT('T-12 Inputs'!$O$7:$O$100*('T-12 Inputs'!$A$7:$A$100='OpStatement List - Dropdowns'!$I$5))*12</f>
        <v>0</v>
      </c>
      <c r="O10" s="315" t="e">
        <f>+N10/$C$4</f>
        <v>#DIV/0!</v>
      </c>
      <c r="P10" s="312"/>
      <c r="Q10" s="187"/>
      <c r="R10" s="316"/>
      <c r="S10" s="308"/>
      <c r="T10" s="317"/>
      <c r="U10" s="318"/>
      <c r="V10" s="319">
        <f>+E10</f>
        <v>0</v>
      </c>
      <c r="W10" s="315" t="e">
        <f>+V10/$C$4</f>
        <v>#DIV/0!</v>
      </c>
      <c r="X10" s="305"/>
      <c r="Y10" s="309"/>
    </row>
    <row r="11" spans="3:27" x14ac:dyDescent="0.3">
      <c r="C11" s="225" t="s">
        <v>224</v>
      </c>
      <c r="E11" s="320" cm="1">
        <f t="array" ref="E11">+SUMPRODUCT('T-12 Inputs'!$D$7:$O$100*('T-12 Inputs'!$A$7:$A$100='OpStatement List - Dropdowns'!$I$6))</f>
        <v>0</v>
      </c>
      <c r="F11" s="321" t="e">
        <f>+E11/$C$4</f>
        <v>#DIV/0!</v>
      </c>
      <c r="G11" s="307"/>
      <c r="H11" s="322" cm="1">
        <f t="array" ref="H11">+SUMPRODUCT('T-12 Inputs'!$J$7:$O$100*('T-12 Inputs'!$A$7:$A$100='OpStatement List - Dropdowns'!$I$6))*2</f>
        <v>0</v>
      </c>
      <c r="I11" s="321" t="e">
        <f>+H11/$C$4</f>
        <v>#DIV/0!</v>
      </c>
      <c r="J11" s="307"/>
      <c r="K11" s="322" cm="1">
        <f t="array" ref="K11">+SUMPRODUCT('T-12 Inputs'!$M$7:$O$100*('T-12 Inputs'!$A$7:$A$100='OpStatement List - Dropdowns'!$I$6))*4</f>
        <v>0</v>
      </c>
      <c r="L11" s="321" t="e">
        <f>+K11/$C$4</f>
        <v>#DIV/0!</v>
      </c>
      <c r="M11" s="307"/>
      <c r="N11" s="201" cm="1">
        <f t="array" ref="N11">+SUMPRODUCT('T-12 Inputs'!$O$7:$O$100*('T-12 Inputs'!$A$7:$A$100='OpStatement List - Dropdowns'!$I$6))*12</f>
        <v>0</v>
      </c>
      <c r="O11" s="321" t="e">
        <f>+N11/$C$4</f>
        <v>#DIV/0!</v>
      </c>
      <c r="P11" s="312"/>
      <c r="Q11" s="187"/>
      <c r="R11" s="323"/>
      <c r="S11" s="324"/>
      <c r="T11" s="317"/>
      <c r="U11" s="325"/>
      <c r="V11" s="326">
        <f>+V10*-U11</f>
        <v>0</v>
      </c>
      <c r="W11" s="321" t="e">
        <f>+V11/$C$4</f>
        <v>#DIV/0!</v>
      </c>
      <c r="X11" s="305"/>
      <c r="Y11" s="306"/>
    </row>
    <row r="12" spans="3:27" ht="20.399999999999999" customHeight="1" x14ac:dyDescent="0.3">
      <c r="C12" s="190" t="s">
        <v>215</v>
      </c>
      <c r="D12" s="235"/>
      <c r="E12" s="327">
        <f>+SUM(E10:E11)</f>
        <v>0</v>
      </c>
      <c r="F12" s="328" t="e">
        <f>+E12/$C$4</f>
        <v>#DIV/0!</v>
      </c>
      <c r="G12" s="329"/>
      <c r="H12" s="330">
        <f>+SUM(H10:H11)</f>
        <v>0</v>
      </c>
      <c r="I12" s="330" t="e">
        <f>+H12/$C$4</f>
        <v>#DIV/0!</v>
      </c>
      <c r="J12" s="329"/>
      <c r="K12" s="330">
        <f>+SUM(K10:K11)</f>
        <v>0</v>
      </c>
      <c r="L12" s="328" t="e">
        <f>+K12/$C$4</f>
        <v>#DIV/0!</v>
      </c>
      <c r="M12" s="329"/>
      <c r="N12" s="330">
        <f>+SUM(N10:N11)</f>
        <v>0</v>
      </c>
      <c r="O12" s="330" t="e">
        <f>+N12/$C$4</f>
        <v>#DIV/0!</v>
      </c>
      <c r="P12" s="331"/>
      <c r="Q12" s="332"/>
      <c r="R12" s="333">
        <f>+SUM(R10:R11)</f>
        <v>0</v>
      </c>
      <c r="S12" s="334" t="e">
        <f>+R12/C4</f>
        <v>#DIV/0!</v>
      </c>
      <c r="T12" s="304"/>
      <c r="U12" s="310"/>
      <c r="V12" s="335">
        <f>+SUM(V10:V11)</f>
        <v>0</v>
      </c>
      <c r="W12" s="330" t="e">
        <f>+V12/$C$4</f>
        <v>#DIV/0!</v>
      </c>
      <c r="X12" s="336"/>
      <c r="Y12" s="337"/>
      <c r="AA12" s="33"/>
    </row>
    <row r="13" spans="3:27" ht="4.95" customHeight="1" x14ac:dyDescent="0.3">
      <c r="C13" s="196"/>
      <c r="D13" s="238"/>
      <c r="E13" s="313"/>
      <c r="F13" s="338"/>
      <c r="G13" s="307"/>
      <c r="H13" s="238"/>
      <c r="I13" s="238"/>
      <c r="J13" s="307"/>
      <c r="K13" s="196"/>
      <c r="L13" s="338"/>
      <c r="M13" s="307"/>
      <c r="N13" s="238"/>
      <c r="O13" s="238"/>
      <c r="P13" s="339"/>
      <c r="R13" s="340"/>
      <c r="S13" s="339"/>
      <c r="T13" s="304"/>
      <c r="U13" s="313"/>
      <c r="V13" s="341"/>
      <c r="W13" s="238"/>
      <c r="X13" s="342"/>
      <c r="Y13" s="343"/>
      <c r="AA13" s="344"/>
    </row>
    <row r="14" spans="3:27" x14ac:dyDescent="0.3">
      <c r="C14" s="225" t="s">
        <v>55</v>
      </c>
      <c r="E14" s="345" cm="1">
        <f t="array" ref="E14">+SUMPRODUCT('T-12 Inputs'!$D$7:$O$100*('T-12 Inputs'!$A$7:$A$100='OpStatement List - Dropdowns'!$I$7))</f>
        <v>0</v>
      </c>
      <c r="F14" s="346" t="e">
        <f>+E14/$C$4</f>
        <v>#DIV/0!</v>
      </c>
      <c r="G14" s="307"/>
      <c r="H14" s="33" cm="1">
        <f t="array" ref="H14">+SUMPRODUCT('T-12 Inputs'!$J$7:$O$100*('T-12 Inputs'!$A$7:$A$100='OpStatement List - Dropdowns'!$I$7))*2</f>
        <v>0</v>
      </c>
      <c r="I14" s="33" t="e">
        <f>+H14/$C$4</f>
        <v>#DIV/0!</v>
      </c>
      <c r="J14" s="307"/>
      <c r="K14" s="347" cm="1">
        <f t="array" ref="K14">+SUMPRODUCT('T-12 Inputs'!$M$7:$O$100*('T-12 Inputs'!$A$7:$A$100='OpStatement List - Dropdowns'!I7))*4</f>
        <v>0</v>
      </c>
      <c r="L14" s="346" t="e">
        <f>+K14/$C$4</f>
        <v>#DIV/0!</v>
      </c>
      <c r="M14" s="307"/>
      <c r="N14" s="33" cm="1">
        <f t="array" ref="N14">+SUMPRODUCT('T-12 Inputs'!$O$7:$O$100*('T-12 Inputs'!$A$7:$A$100='OpStatement List - Dropdowns'!I7))*12</f>
        <v>0</v>
      </c>
      <c r="O14" s="33" t="e">
        <f>+N14/$C$4</f>
        <v>#DIV/0!</v>
      </c>
      <c r="P14" s="348"/>
      <c r="Q14" s="33"/>
      <c r="R14" s="349"/>
      <c r="S14" s="350" t="e">
        <f>+R14/$C$4</f>
        <v>#DIV/0!</v>
      </c>
      <c r="T14" s="304"/>
      <c r="U14" s="351"/>
      <c r="V14" s="352">
        <f>+U14*-$V$12</f>
        <v>0</v>
      </c>
      <c r="W14" s="33" t="e">
        <f>+V14/$C$4</f>
        <v>#DIV/0!</v>
      </c>
      <c r="X14" s="353"/>
      <c r="Y14" s="354"/>
    </row>
    <row r="15" spans="3:27" x14ac:dyDescent="0.3">
      <c r="C15" s="355" t="s">
        <v>240</v>
      </c>
      <c r="E15" s="356" t="e">
        <f>+E14/E12</f>
        <v>#DIV/0!</v>
      </c>
      <c r="F15" s="346"/>
      <c r="G15" s="307"/>
      <c r="H15" s="357" t="e">
        <f>+H14/H12</f>
        <v>#DIV/0!</v>
      </c>
      <c r="I15" s="33"/>
      <c r="J15" s="307"/>
      <c r="K15" s="357" t="e">
        <f>+K14/K12</f>
        <v>#DIV/0!</v>
      </c>
      <c r="L15" s="346"/>
      <c r="M15" s="307"/>
      <c r="N15" s="357" t="e">
        <f>+N14/N12</f>
        <v>#DIV/0!</v>
      </c>
      <c r="O15" s="33"/>
      <c r="P15" s="348"/>
      <c r="Q15" s="33"/>
      <c r="R15" s="349"/>
      <c r="S15" s="350"/>
      <c r="T15" s="304"/>
      <c r="U15" s="358"/>
      <c r="V15" s="352"/>
      <c r="W15" s="33"/>
      <c r="X15" s="353"/>
      <c r="Y15" s="354"/>
    </row>
    <row r="16" spans="3:27" x14ac:dyDescent="0.3">
      <c r="C16" s="225" t="s">
        <v>52</v>
      </c>
      <c r="E16" s="345" cm="1">
        <f t="array" ref="E16">+SUMPRODUCT('T-12 Inputs'!$D$7:$O$100*('T-12 Inputs'!$A$7:$A$100='OpStatement List - Dropdowns'!$I$8))</f>
        <v>0</v>
      </c>
      <c r="F16" s="346" t="e">
        <f>+E16/$C$4</f>
        <v>#DIV/0!</v>
      </c>
      <c r="G16" s="307"/>
      <c r="H16" s="33" cm="1">
        <f t="array" ref="H16">+SUMPRODUCT('T-12 Inputs'!$J$7:$O$100*('T-12 Inputs'!$A$7:$A$100='OpStatement List - Dropdowns'!$I$8))*2</f>
        <v>0</v>
      </c>
      <c r="I16" s="33" t="e">
        <f>+H16/$C$4</f>
        <v>#DIV/0!</v>
      </c>
      <c r="J16" s="307"/>
      <c r="K16" s="347" cm="1">
        <f t="array" ref="K16">+SUMPRODUCT('T-12 Inputs'!$M$7:$O$100*('T-12 Inputs'!$A$7:$A$100='OpStatement List - Dropdowns'!I8))*4</f>
        <v>0</v>
      </c>
      <c r="L16" s="346" t="e">
        <f>+K16/$C$4</f>
        <v>#DIV/0!</v>
      </c>
      <c r="M16" s="307"/>
      <c r="N16" s="33" cm="1">
        <f t="array" ref="N16">+SUMPRODUCT('T-12 Inputs'!$O$7:$O$100*('T-12 Inputs'!$A$7:$A$100='OpStatement List - Dropdowns'!I8))*12</f>
        <v>0</v>
      </c>
      <c r="O16" s="33" t="e">
        <f>+N16/$C$4</f>
        <v>#DIV/0!</v>
      </c>
      <c r="P16" s="348"/>
      <c r="Q16" s="33"/>
      <c r="R16" s="349"/>
      <c r="S16" s="350" t="e">
        <f>+R16/$C$4</f>
        <v>#DIV/0!</v>
      </c>
      <c r="T16" s="304"/>
      <c r="U16" s="351"/>
      <c r="V16" s="352">
        <f t="shared" ref="V16:V17" si="0">+U16*-$V$12</f>
        <v>0</v>
      </c>
      <c r="W16" s="33" t="e">
        <f>+V16/$C$4</f>
        <v>#DIV/0!</v>
      </c>
      <c r="X16" s="353"/>
      <c r="Y16" s="354"/>
    </row>
    <row r="17" spans="3:25" x14ac:dyDescent="0.3">
      <c r="C17" s="225" t="s">
        <v>56</v>
      </c>
      <c r="E17" s="345" cm="1">
        <f t="array" ref="E17">+SUMPRODUCT('T-12 Inputs'!$D$7:$O$100*('T-12 Inputs'!$A$7:$A$100='OpStatement List - Dropdowns'!$I$9))</f>
        <v>0</v>
      </c>
      <c r="F17" s="346" t="e">
        <f>+E17/$C$4</f>
        <v>#DIV/0!</v>
      </c>
      <c r="G17" s="307"/>
      <c r="H17" s="33" cm="1">
        <f t="array" ref="H17">+SUMPRODUCT('T-12 Inputs'!$J$7:$O$100*('T-12 Inputs'!$A$7:$A$100='OpStatement List - Dropdowns'!$I$9))*2</f>
        <v>0</v>
      </c>
      <c r="I17" s="33" t="e">
        <f>+H17/$C$4</f>
        <v>#DIV/0!</v>
      </c>
      <c r="J17" s="307"/>
      <c r="K17" s="347" cm="1">
        <f t="array" ref="K17">+SUMPRODUCT('T-12 Inputs'!$M$7:$O$100*('T-12 Inputs'!$A$7:$A$100='OpStatement List - Dropdowns'!I9))*4</f>
        <v>0</v>
      </c>
      <c r="L17" s="346" t="e">
        <f>+K17/$C$4</f>
        <v>#DIV/0!</v>
      </c>
      <c r="M17" s="307"/>
      <c r="N17" s="33" cm="1">
        <f t="array" ref="N17">+SUMPRODUCT('T-12 Inputs'!$O$7:$O$100*('T-12 Inputs'!$A$7:$A$100='OpStatement List - Dropdowns'!I9))*12</f>
        <v>0</v>
      </c>
      <c r="O17" s="33" t="e">
        <f>+N17/$C$4</f>
        <v>#DIV/0!</v>
      </c>
      <c r="P17" s="348"/>
      <c r="Q17" s="33"/>
      <c r="R17" s="349"/>
      <c r="S17" s="350" t="e">
        <f>+R17/$C$4</f>
        <v>#DIV/0!</v>
      </c>
      <c r="T17" s="304"/>
      <c r="U17" s="351"/>
      <c r="V17" s="352">
        <f t="shared" si="0"/>
        <v>0</v>
      </c>
      <c r="W17" s="33" t="e">
        <f>+V17/$C$4</f>
        <v>#DIV/0!</v>
      </c>
      <c r="X17" s="353"/>
      <c r="Y17" s="354"/>
    </row>
    <row r="18" spans="3:25" ht="16.2" customHeight="1" x14ac:dyDescent="0.3">
      <c r="C18" s="196" t="s">
        <v>226</v>
      </c>
      <c r="D18" s="238"/>
      <c r="E18" s="320" cm="1">
        <f t="array" ref="E18">+SUMPRODUCT('T-12 Inputs'!$D$7:$O$100*('T-12 Inputs'!$A$7:$A$100='OpStatement List - Dropdowns'!$I$10))</f>
        <v>0</v>
      </c>
      <c r="F18" s="359" t="e">
        <f>+E18/$C$4</f>
        <v>#DIV/0!</v>
      </c>
      <c r="G18" s="307"/>
      <c r="H18" s="33" cm="1">
        <f t="array" ref="H18">+SUMPRODUCT('T-12 Inputs'!$J$7:$O$100*('T-12 Inputs'!$A$7:$A$100='OpStatement List - Dropdowns'!$I$10))*2</f>
        <v>0</v>
      </c>
      <c r="I18" s="201" t="e">
        <f>+H18/$C$4</f>
        <v>#DIV/0!</v>
      </c>
      <c r="J18" s="307"/>
      <c r="K18" s="322" cm="1">
        <f t="array" ref="K18">+SUMPRODUCT('T-12 Inputs'!$M$7:$O$100*('T-12 Inputs'!$A$7:$A$100='OpStatement List - Dropdowns'!I10))*4</f>
        <v>0</v>
      </c>
      <c r="L18" s="359" t="e">
        <f>+K18/$C$4</f>
        <v>#DIV/0!</v>
      </c>
      <c r="M18" s="307"/>
      <c r="N18" s="33" cm="1">
        <f t="array" ref="N18">+SUMPRODUCT('T-12 Inputs'!$O$7:$O$100*('T-12 Inputs'!$A$7:$A$100='OpStatement List - Dropdowns'!I10))*12</f>
        <v>0</v>
      </c>
      <c r="O18" s="201" t="e">
        <f>+N18/$C$4</f>
        <v>#DIV/0!</v>
      </c>
      <c r="P18" s="360"/>
      <c r="Q18" s="33"/>
      <c r="R18" s="349"/>
      <c r="S18" s="361" t="e">
        <f>+R18/$C$4</f>
        <v>#DIV/0!</v>
      </c>
      <c r="T18" s="304"/>
      <c r="U18" s="657" t="e">
        <f>-V18/V12</f>
        <v>#DIV/0!</v>
      </c>
      <c r="V18" s="362" t="e">
        <f>-12*1.7*'Rent Schedule'!J31</f>
        <v>#DIV/0!</v>
      </c>
      <c r="W18" s="201" t="e">
        <f>+V18/$C$4</f>
        <v>#DIV/0!</v>
      </c>
      <c r="X18" s="342"/>
      <c r="Y18" s="343"/>
    </row>
    <row r="19" spans="3:25" ht="18.600000000000001" customHeight="1" x14ac:dyDescent="0.3">
      <c r="C19" s="292" t="s">
        <v>198</v>
      </c>
      <c r="E19" s="363">
        <f>+SUM(E16:E18,E14)</f>
        <v>0</v>
      </c>
      <c r="F19" s="364" t="e">
        <f>SUM(F14:F17)</f>
        <v>#DIV/0!</v>
      </c>
      <c r="G19" s="225"/>
      <c r="H19" s="365">
        <f>+SUM(H16:H18,H14)</f>
        <v>0</v>
      </c>
      <c r="I19" s="332" t="e">
        <f>SUM(I14:I17)</f>
        <v>#DIV/0!</v>
      </c>
      <c r="J19" s="225"/>
      <c r="K19" s="365">
        <f>+SUM(K16:K18,K14)</f>
        <v>0</v>
      </c>
      <c r="L19" s="364" t="e">
        <f>SUM(L14:L17)</f>
        <v>#DIV/0!</v>
      </c>
      <c r="M19" s="225"/>
      <c r="N19" s="365">
        <f>+SUM(N16:N18,N14)</f>
        <v>0</v>
      </c>
      <c r="O19" s="332" t="e">
        <f>SUM(O14:O17)</f>
        <v>#DIV/0!</v>
      </c>
      <c r="P19" s="334"/>
      <c r="Q19" s="332"/>
      <c r="R19" s="366">
        <f>SUM(R14:R18)</f>
        <v>0</v>
      </c>
      <c r="S19" s="367" t="e">
        <f>SUM(S14:S17)</f>
        <v>#DIV/0!</v>
      </c>
      <c r="T19" s="304"/>
      <c r="U19" s="356"/>
      <c r="V19" s="368" t="e">
        <f>SUM(V14:V18)</f>
        <v>#DIV/0!</v>
      </c>
      <c r="W19" s="332" t="e">
        <f>+V19/$C$4</f>
        <v>#DIV/0!</v>
      </c>
      <c r="X19" s="225"/>
      <c r="Y19" s="317"/>
    </row>
    <row r="20" spans="3:25" ht="1.95" customHeight="1" x14ac:dyDescent="0.3">
      <c r="C20" s="225"/>
      <c r="E20" s="345"/>
      <c r="F20" s="346"/>
      <c r="G20" s="307"/>
      <c r="H20" s="33"/>
      <c r="I20" s="33"/>
      <c r="J20" s="307"/>
      <c r="K20" s="347"/>
      <c r="L20" s="346"/>
      <c r="M20" s="307"/>
      <c r="N20" s="33"/>
      <c r="O20" s="33"/>
      <c r="P20" s="348"/>
      <c r="Q20" s="33"/>
      <c r="R20" s="369"/>
      <c r="S20" s="350"/>
      <c r="T20" s="304"/>
      <c r="U20" s="370"/>
      <c r="V20" s="352"/>
      <c r="X20" s="225"/>
      <c r="Y20" s="317"/>
    </row>
    <row r="21" spans="3:25" ht="18" customHeight="1" x14ac:dyDescent="0.3">
      <c r="C21" s="203" t="s">
        <v>216</v>
      </c>
      <c r="D21" s="204"/>
      <c r="E21" s="371">
        <f>+SUM(E12,E19)</f>
        <v>0</v>
      </c>
      <c r="F21" s="372" t="e">
        <f>+E21/$C$4</f>
        <v>#DIV/0!</v>
      </c>
      <c r="G21" s="307"/>
      <c r="H21" s="246">
        <f>+SUM(H12,H19)</f>
        <v>0</v>
      </c>
      <c r="I21" s="246" t="e">
        <f>+H21/$C$4</f>
        <v>#DIV/0!</v>
      </c>
      <c r="J21" s="307"/>
      <c r="K21" s="373">
        <f>+SUM(K12,K19)</f>
        <v>0</v>
      </c>
      <c r="L21" s="372" t="e">
        <f>+K21/$C$4</f>
        <v>#DIV/0!</v>
      </c>
      <c r="M21" s="307"/>
      <c r="N21" s="246">
        <f>+SUM(N12,N19)</f>
        <v>0</v>
      </c>
      <c r="O21" s="246" t="e">
        <f>+N21/$C$4</f>
        <v>#DIV/0!</v>
      </c>
      <c r="P21" s="374"/>
      <c r="Q21" s="332"/>
      <c r="R21" s="366">
        <f>+R12+R19</f>
        <v>0</v>
      </c>
      <c r="S21" s="375" t="e">
        <f>+R21/$C$4</f>
        <v>#DIV/0!</v>
      </c>
      <c r="T21" s="304"/>
      <c r="U21" s="376"/>
      <c r="V21" s="150" t="e">
        <f>+SUM(V12,V19)</f>
        <v>#DIV/0!</v>
      </c>
      <c r="W21" s="246" t="e">
        <f>+V21/$C$4</f>
        <v>#DIV/0!</v>
      </c>
      <c r="X21" s="209"/>
      <c r="Y21" s="377"/>
    </row>
    <row r="22" spans="3:25" ht="5.4" customHeight="1" x14ac:dyDescent="0.3">
      <c r="C22" s="225"/>
      <c r="E22" s="318"/>
      <c r="F22" s="378"/>
      <c r="G22" s="307"/>
      <c r="J22" s="307"/>
      <c r="K22" s="225"/>
      <c r="L22" s="378"/>
      <c r="M22" s="307"/>
      <c r="P22" s="379"/>
      <c r="R22" s="380"/>
      <c r="S22" s="317"/>
      <c r="T22" s="304"/>
      <c r="U22" s="318"/>
      <c r="V22" s="352"/>
      <c r="X22" s="225"/>
      <c r="Y22" s="317"/>
    </row>
    <row r="23" spans="3:25" ht="13.2" customHeight="1" outlineLevel="1" x14ac:dyDescent="0.3">
      <c r="C23" s="225" t="s">
        <v>239</v>
      </c>
      <c r="E23" s="345" cm="1">
        <f t="array" ref="E23">+SUMPRODUCT('T-12 Inputs'!$D$7:$O$100*('T-12 Inputs'!$A$7:$A$100=C23))</f>
        <v>0</v>
      </c>
      <c r="F23" s="346" t="e">
        <f t="shared" ref="F23:F35" si="1">+E23/$C$4</f>
        <v>#DIV/0!</v>
      </c>
      <c r="G23" s="307"/>
      <c r="H23" s="33" cm="1">
        <f t="array" ref="H23">+SUMPRODUCT('T-12 Inputs'!$J$7:$O$100*('T-12 Inputs'!$A$7:$A$100=C23))*2</f>
        <v>0</v>
      </c>
      <c r="I23" s="33" t="e">
        <f t="shared" ref="I23:I48" si="2">+H23/$C$4</f>
        <v>#DIV/0!</v>
      </c>
      <c r="J23" s="307"/>
      <c r="K23" s="347" cm="1">
        <f t="array" ref="K23">+SUMPRODUCT('T-12 Inputs'!$M$7:$O$100*('T-12 Inputs'!$A$7:$A$100=C23))*4</f>
        <v>0</v>
      </c>
      <c r="L23" s="346" t="e">
        <f t="shared" ref="L23:L48" si="3">+K23/$C$4</f>
        <v>#DIV/0!</v>
      </c>
      <c r="M23" s="307"/>
      <c r="N23" s="33" cm="1">
        <f t="array" ref="N23">+SUMPRODUCT('T-12 Inputs'!$O$7:$O$100*('T-12 Inputs'!$A$7:$A$100=C23))*12</f>
        <v>0</v>
      </c>
      <c r="O23" s="33" t="e">
        <f t="shared" ref="O23:O48" si="4">+N23/$C$4</f>
        <v>#DIV/0!</v>
      </c>
      <c r="P23" s="379"/>
      <c r="R23" s="380"/>
      <c r="S23" s="317"/>
      <c r="T23" s="304"/>
      <c r="U23" s="318"/>
      <c r="V23" s="381"/>
      <c r="W23" s="33" t="e">
        <f t="shared" ref="W23:W48" si="5">+V23/$C$4</f>
        <v>#DIV/0!</v>
      </c>
      <c r="X23" s="353"/>
      <c r="Y23" s="354"/>
    </row>
    <row r="24" spans="3:25" outlineLevel="1" x14ac:dyDescent="0.3">
      <c r="C24" s="225" t="s">
        <v>458</v>
      </c>
      <c r="E24" s="345" cm="1">
        <f t="array" ref="E24">+SUMPRODUCT('T-12 Inputs'!$D$7:$O$100*('T-12 Inputs'!$A$7:$A$100=C24))</f>
        <v>0</v>
      </c>
      <c r="F24" s="346" t="e">
        <f t="shared" si="1"/>
        <v>#DIV/0!</v>
      </c>
      <c r="G24" s="307"/>
      <c r="H24" s="33" cm="1">
        <f t="array" ref="H24">+SUMPRODUCT('T-12 Inputs'!$J$7:$O$100*('T-12 Inputs'!$A$7:$A$100=C24))*2</f>
        <v>0</v>
      </c>
      <c r="I24" s="33" t="e">
        <f t="shared" si="2"/>
        <v>#DIV/0!</v>
      </c>
      <c r="J24" s="307"/>
      <c r="K24" s="347" cm="1">
        <f t="array" ref="K24">+SUMPRODUCT('T-12 Inputs'!$M$7:$O$100*('T-12 Inputs'!$A$7:$A$100=C24))*4</f>
        <v>0</v>
      </c>
      <c r="L24" s="346" t="e">
        <f t="shared" si="3"/>
        <v>#DIV/0!</v>
      </c>
      <c r="M24" s="307"/>
      <c r="N24" s="33" cm="1">
        <f t="array" ref="N24">+SUMPRODUCT('T-12 Inputs'!$O$7:$O$100*('T-12 Inputs'!$A$7:$A$100=C24))*12</f>
        <v>0</v>
      </c>
      <c r="O24" s="33" t="e">
        <f t="shared" si="4"/>
        <v>#DIV/0!</v>
      </c>
      <c r="P24" s="348"/>
      <c r="Q24" s="33"/>
      <c r="R24" s="349"/>
      <c r="S24" s="350" t="e">
        <f t="shared" ref="S24:S32" si="6">+R24/$C$4</f>
        <v>#DIV/0!</v>
      </c>
      <c r="T24" s="304"/>
      <c r="U24" s="318"/>
      <c r="V24" s="381"/>
      <c r="W24" s="33" t="e">
        <f t="shared" si="5"/>
        <v>#DIV/0!</v>
      </c>
      <c r="X24" s="353"/>
      <c r="Y24" s="354"/>
    </row>
    <row r="25" spans="3:25" outlineLevel="1" x14ac:dyDescent="0.3">
      <c r="C25" s="225" t="s">
        <v>246</v>
      </c>
      <c r="E25" s="345" cm="1">
        <f t="array" ref="E25">+SUMPRODUCT('T-12 Inputs'!$D$7:$O$100*('T-12 Inputs'!$A$7:$A$100=C25))</f>
        <v>0</v>
      </c>
      <c r="F25" s="346" t="e">
        <f t="shared" si="1"/>
        <v>#DIV/0!</v>
      </c>
      <c r="G25" s="307"/>
      <c r="H25" s="33" cm="1">
        <f t="array" ref="H25">+SUMPRODUCT('T-12 Inputs'!$J$7:$O$100*('T-12 Inputs'!$A$7:$A$100=C25))*2</f>
        <v>0</v>
      </c>
      <c r="I25" s="33" t="e">
        <f t="shared" si="2"/>
        <v>#DIV/0!</v>
      </c>
      <c r="J25" s="307"/>
      <c r="K25" s="347" cm="1">
        <f t="array" ref="K25">+SUMPRODUCT('T-12 Inputs'!$M$7:$O$100*('T-12 Inputs'!$A$7:$A$100=C25))*4</f>
        <v>0</v>
      </c>
      <c r="L25" s="346" t="e">
        <f t="shared" si="3"/>
        <v>#DIV/0!</v>
      </c>
      <c r="M25" s="307"/>
      <c r="N25" s="33" cm="1">
        <f t="array" ref="N25">+SUMPRODUCT('T-12 Inputs'!$O$7:$O$100*('T-12 Inputs'!$A$7:$A$100=C25))*12</f>
        <v>0</v>
      </c>
      <c r="O25" s="33" t="e">
        <f t="shared" si="4"/>
        <v>#DIV/0!</v>
      </c>
      <c r="P25" s="348"/>
      <c r="Q25" s="33"/>
      <c r="R25" s="349"/>
      <c r="S25" s="350" t="e">
        <f t="shared" si="6"/>
        <v>#DIV/0!</v>
      </c>
      <c r="T25" s="304"/>
      <c r="U25" s="318"/>
      <c r="V25" s="381"/>
      <c r="W25" s="33" t="e">
        <f t="shared" si="5"/>
        <v>#DIV/0!</v>
      </c>
      <c r="X25" s="353"/>
      <c r="Y25" s="354"/>
    </row>
    <row r="26" spans="3:25" outlineLevel="1" x14ac:dyDescent="0.3">
      <c r="C26" s="225" t="s">
        <v>486</v>
      </c>
      <c r="E26" s="345" cm="1">
        <f t="array" ref="E26">+SUMPRODUCT('T-12 Inputs'!$D$7:$O$100*('T-12 Inputs'!$A$7:$A$100=C26))</f>
        <v>0</v>
      </c>
      <c r="F26" s="346" t="e">
        <f t="shared" si="1"/>
        <v>#DIV/0!</v>
      </c>
      <c r="G26" s="307"/>
      <c r="H26" s="33" cm="1">
        <f t="array" ref="H26">+SUMPRODUCT('T-12 Inputs'!$J$7:$O$100*('T-12 Inputs'!$A$7:$A$100=C26))*2</f>
        <v>0</v>
      </c>
      <c r="I26" s="33" t="e">
        <f t="shared" si="2"/>
        <v>#DIV/0!</v>
      </c>
      <c r="J26" s="307"/>
      <c r="K26" s="347" cm="1">
        <f t="array" ref="K26">+SUMPRODUCT('T-12 Inputs'!$M$7:$O$100*('T-12 Inputs'!$A$7:$A$100=C26))*4</f>
        <v>0</v>
      </c>
      <c r="L26" s="346" t="e">
        <f t="shared" si="3"/>
        <v>#DIV/0!</v>
      </c>
      <c r="M26" s="307"/>
      <c r="N26" s="33" cm="1">
        <f t="array" ref="N26">+SUMPRODUCT('T-12 Inputs'!$O$7:$O$100*('T-12 Inputs'!$A$7:$A$100=C26))*12</f>
        <v>0</v>
      </c>
      <c r="O26" s="33" t="e">
        <f t="shared" si="4"/>
        <v>#DIV/0!</v>
      </c>
      <c r="P26" s="348"/>
      <c r="Q26" s="33"/>
      <c r="R26" s="349"/>
      <c r="S26" s="350" t="e">
        <f t="shared" si="6"/>
        <v>#DIV/0!</v>
      </c>
      <c r="T26" s="304"/>
      <c r="U26" s="318"/>
      <c r="V26" s="381"/>
      <c r="W26" s="33" t="e">
        <f t="shared" si="5"/>
        <v>#DIV/0!</v>
      </c>
      <c r="X26" s="353"/>
      <c r="Y26" s="354"/>
    </row>
    <row r="27" spans="3:25" outlineLevel="1" x14ac:dyDescent="0.3">
      <c r="C27" s="225" t="s">
        <v>63</v>
      </c>
      <c r="E27" s="345" cm="1">
        <f t="array" ref="E27">+SUMPRODUCT('T-12 Inputs'!$D$7:$O$100*('T-12 Inputs'!$A$7:$A$100=C27))</f>
        <v>0</v>
      </c>
      <c r="F27" s="346" t="e">
        <f t="shared" si="1"/>
        <v>#DIV/0!</v>
      </c>
      <c r="G27" s="307"/>
      <c r="H27" s="33" cm="1">
        <f t="array" ref="H27">+SUMPRODUCT('T-12 Inputs'!$J$7:$O$100*('T-12 Inputs'!$A$7:$A$100=C27))*2</f>
        <v>0</v>
      </c>
      <c r="I27" s="33" t="e">
        <f t="shared" si="2"/>
        <v>#DIV/0!</v>
      </c>
      <c r="J27" s="307"/>
      <c r="K27" s="347" cm="1">
        <f t="array" ref="K27">+SUMPRODUCT('T-12 Inputs'!$M$7:$O$100*('T-12 Inputs'!$A$7:$A$100=C27))*4</f>
        <v>0</v>
      </c>
      <c r="L27" s="346" t="e">
        <f t="shared" si="3"/>
        <v>#DIV/0!</v>
      </c>
      <c r="M27" s="307"/>
      <c r="N27" s="33" cm="1">
        <f t="array" ref="N27">+SUMPRODUCT('T-12 Inputs'!$O$7:$O$100*('T-12 Inputs'!$A$7:$A$100=C27))*12</f>
        <v>0</v>
      </c>
      <c r="O27" s="33" t="e">
        <f t="shared" si="4"/>
        <v>#DIV/0!</v>
      </c>
      <c r="P27" s="348"/>
      <c r="Q27" s="33"/>
      <c r="R27" s="349"/>
      <c r="S27" s="350" t="e">
        <f t="shared" si="6"/>
        <v>#DIV/0!</v>
      </c>
      <c r="T27" s="304"/>
      <c r="U27" s="318"/>
      <c r="V27" s="381"/>
      <c r="W27" s="33" t="e">
        <f t="shared" si="5"/>
        <v>#DIV/0!</v>
      </c>
      <c r="X27" s="353"/>
      <c r="Y27" s="354"/>
    </row>
    <row r="28" spans="3:25" outlineLevel="1" x14ac:dyDescent="0.3">
      <c r="C28" s="225" t="s">
        <v>227</v>
      </c>
      <c r="E28" s="345" cm="1">
        <f t="array" ref="E28">+SUMPRODUCT('T-12 Inputs'!$D$7:$O$100*('T-12 Inputs'!$A$7:$A$100=C28))</f>
        <v>0</v>
      </c>
      <c r="F28" s="346" t="e">
        <f t="shared" si="1"/>
        <v>#DIV/0!</v>
      </c>
      <c r="G28" s="307"/>
      <c r="H28" s="33" cm="1">
        <f t="array" ref="H28">+SUMPRODUCT('T-12 Inputs'!$J$7:$O$100*('T-12 Inputs'!$A$7:$A$100=C28))*2</f>
        <v>0</v>
      </c>
      <c r="I28" s="33" t="e">
        <f t="shared" si="2"/>
        <v>#DIV/0!</v>
      </c>
      <c r="J28" s="307"/>
      <c r="K28" s="347" cm="1">
        <f t="array" ref="K28">+SUMPRODUCT('T-12 Inputs'!$M$7:$O$100*('T-12 Inputs'!$A$7:$A$100=C28))*4</f>
        <v>0</v>
      </c>
      <c r="L28" s="346" t="e">
        <f t="shared" si="3"/>
        <v>#DIV/0!</v>
      </c>
      <c r="M28" s="307"/>
      <c r="N28" s="33" cm="1">
        <f t="array" ref="N28">+SUMPRODUCT('T-12 Inputs'!$O$7:$O$100*('T-12 Inputs'!$A$7:$A$100=C28))*12</f>
        <v>0</v>
      </c>
      <c r="O28" s="33" t="e">
        <f t="shared" si="4"/>
        <v>#DIV/0!</v>
      </c>
      <c r="P28" s="348"/>
      <c r="Q28" s="33"/>
      <c r="R28" s="349"/>
      <c r="S28" s="350" t="e">
        <f t="shared" si="6"/>
        <v>#DIV/0!</v>
      </c>
      <c r="T28" s="304"/>
      <c r="U28" s="318"/>
      <c r="V28" s="381"/>
      <c r="W28" s="33" t="e">
        <f t="shared" si="5"/>
        <v>#DIV/0!</v>
      </c>
      <c r="X28" s="353"/>
      <c r="Y28" s="354"/>
    </row>
    <row r="29" spans="3:25" outlineLevel="1" x14ac:dyDescent="0.3">
      <c r="C29" s="225" t="s">
        <v>243</v>
      </c>
      <c r="E29" s="345" cm="1">
        <f t="array" ref="E29">+SUMPRODUCT('T-12 Inputs'!$D$7:$O$100*('T-12 Inputs'!$A$7:$A$100=C29))</f>
        <v>0</v>
      </c>
      <c r="F29" s="346" t="e">
        <f t="shared" si="1"/>
        <v>#DIV/0!</v>
      </c>
      <c r="G29" s="307"/>
      <c r="H29" s="33" cm="1">
        <f t="array" ref="H29">+SUMPRODUCT('T-12 Inputs'!$J$7:$O$100*('T-12 Inputs'!$A$7:$A$100=C29))*2</f>
        <v>0</v>
      </c>
      <c r="I29" s="33" t="e">
        <f t="shared" si="2"/>
        <v>#DIV/0!</v>
      </c>
      <c r="J29" s="307"/>
      <c r="K29" s="347" cm="1">
        <f t="array" ref="K29">+SUMPRODUCT('T-12 Inputs'!$M$7:$O$100*('T-12 Inputs'!$A$7:$A$100=C29))*4</f>
        <v>0</v>
      </c>
      <c r="L29" s="346" t="e">
        <f t="shared" si="3"/>
        <v>#DIV/0!</v>
      </c>
      <c r="M29" s="307"/>
      <c r="N29" s="33" cm="1">
        <f t="array" ref="N29">+SUMPRODUCT('T-12 Inputs'!$O$7:$O$100*('T-12 Inputs'!$A$7:$A$100=C29))*12</f>
        <v>0</v>
      </c>
      <c r="O29" s="33" t="e">
        <f t="shared" si="4"/>
        <v>#DIV/0!</v>
      </c>
      <c r="P29" s="348"/>
      <c r="Q29" s="33"/>
      <c r="R29" s="349"/>
      <c r="S29" s="350" t="e">
        <f t="shared" si="6"/>
        <v>#DIV/0!</v>
      </c>
      <c r="T29" s="304"/>
      <c r="U29" s="318"/>
      <c r="V29" s="381"/>
      <c r="W29" s="33" t="e">
        <f t="shared" si="5"/>
        <v>#DIV/0!</v>
      </c>
      <c r="X29" s="353"/>
      <c r="Y29" s="354"/>
    </row>
    <row r="30" spans="3:25" outlineLevel="1" x14ac:dyDescent="0.3">
      <c r="C30" s="225" t="s">
        <v>456</v>
      </c>
      <c r="E30" s="345" cm="1">
        <f t="array" ref="E30">+SUMPRODUCT('T-12 Inputs'!$D$7:$O$100*('T-12 Inputs'!$A$7:$A$100=C30))</f>
        <v>0</v>
      </c>
      <c r="F30" s="346" t="e">
        <f t="shared" si="1"/>
        <v>#DIV/0!</v>
      </c>
      <c r="G30" s="307"/>
      <c r="H30" s="33" cm="1">
        <f t="array" ref="H30">+SUMPRODUCT('T-12 Inputs'!$J$7:$O$100*('T-12 Inputs'!$A$7:$A$100=C30))*2</f>
        <v>0</v>
      </c>
      <c r="I30" s="33" t="e">
        <f t="shared" si="2"/>
        <v>#DIV/0!</v>
      </c>
      <c r="J30" s="307"/>
      <c r="K30" s="347" cm="1">
        <f t="array" ref="K30">+SUMPRODUCT('T-12 Inputs'!$M$7:$O$100*('T-12 Inputs'!$A$7:$A$100=C30))*4</f>
        <v>0</v>
      </c>
      <c r="L30" s="346" t="e">
        <f t="shared" si="3"/>
        <v>#DIV/0!</v>
      </c>
      <c r="M30" s="307"/>
      <c r="N30" s="33" cm="1">
        <f t="array" ref="N30">+SUMPRODUCT('T-12 Inputs'!$O$7:$O$100*('T-12 Inputs'!$A$7:$A$100=C30))*12</f>
        <v>0</v>
      </c>
      <c r="O30" s="33" t="e">
        <f t="shared" si="4"/>
        <v>#DIV/0!</v>
      </c>
      <c r="P30" s="348"/>
      <c r="Q30" s="33"/>
      <c r="R30" s="349"/>
      <c r="S30" s="350" t="e">
        <f t="shared" si="6"/>
        <v>#DIV/0!</v>
      </c>
      <c r="T30" s="304"/>
      <c r="U30" s="318"/>
      <c r="V30" s="381"/>
      <c r="W30" s="33" t="e">
        <f t="shared" si="5"/>
        <v>#DIV/0!</v>
      </c>
      <c r="X30" s="353"/>
      <c r="Y30" s="354"/>
    </row>
    <row r="31" spans="3:25" outlineLevel="1" x14ac:dyDescent="0.3">
      <c r="C31" s="225" t="s">
        <v>244</v>
      </c>
      <c r="E31" s="345" cm="1">
        <f t="array" ref="E31">+SUMPRODUCT('T-12 Inputs'!$D$7:$O$100*('T-12 Inputs'!$A$7:$A$100=C31))</f>
        <v>0</v>
      </c>
      <c r="F31" s="346" t="e">
        <f t="shared" si="1"/>
        <v>#DIV/0!</v>
      </c>
      <c r="G31" s="307"/>
      <c r="H31" s="33" cm="1">
        <f t="array" ref="H31">+SUMPRODUCT('T-12 Inputs'!$J$7:$O$100*('T-12 Inputs'!$A$7:$A$100=C31))*2</f>
        <v>0</v>
      </c>
      <c r="I31" s="33" t="e">
        <f t="shared" si="2"/>
        <v>#DIV/0!</v>
      </c>
      <c r="J31" s="307"/>
      <c r="K31" s="347" cm="1">
        <f t="array" ref="K31">+SUMPRODUCT('T-12 Inputs'!$M$7:$O$100*('T-12 Inputs'!$A$7:$A$100=C31))*4</f>
        <v>0</v>
      </c>
      <c r="L31" s="346" t="e">
        <f t="shared" si="3"/>
        <v>#DIV/0!</v>
      </c>
      <c r="M31" s="307"/>
      <c r="N31" s="33" cm="1">
        <f t="array" ref="N31">+SUMPRODUCT('T-12 Inputs'!$O$7:$O$100*('T-12 Inputs'!$A$7:$A$100=C31))*12</f>
        <v>0</v>
      </c>
      <c r="O31" s="33" t="e">
        <f t="shared" si="4"/>
        <v>#DIV/0!</v>
      </c>
      <c r="P31" s="348"/>
      <c r="Q31" s="33"/>
      <c r="R31" s="349"/>
      <c r="S31" s="350" t="e">
        <f t="shared" si="6"/>
        <v>#DIV/0!</v>
      </c>
      <c r="T31" s="304"/>
      <c r="U31" s="318"/>
      <c r="V31" s="381"/>
      <c r="W31" s="33" t="e">
        <f t="shared" si="5"/>
        <v>#DIV/0!</v>
      </c>
      <c r="X31" s="353"/>
      <c r="Y31" s="354"/>
    </row>
    <row r="32" spans="3:25" outlineLevel="1" x14ac:dyDescent="0.3">
      <c r="C32" s="225" t="s">
        <v>242</v>
      </c>
      <c r="E32" s="345" cm="1">
        <f t="array" ref="E32">+SUMPRODUCT('T-12 Inputs'!$D$7:$O$100*('T-12 Inputs'!$A$7:$A$100=C32))</f>
        <v>0</v>
      </c>
      <c r="F32" s="346" t="e">
        <f t="shared" si="1"/>
        <v>#DIV/0!</v>
      </c>
      <c r="G32" s="307"/>
      <c r="H32" s="33" cm="1">
        <f t="array" ref="H32">+SUMPRODUCT('T-12 Inputs'!$J$7:$O$100*('T-12 Inputs'!$A$7:$A$100=C32))*2</f>
        <v>0</v>
      </c>
      <c r="I32" s="33" t="e">
        <f t="shared" si="2"/>
        <v>#DIV/0!</v>
      </c>
      <c r="J32" s="307"/>
      <c r="K32" s="347" cm="1">
        <f t="array" ref="K32">+SUMPRODUCT('T-12 Inputs'!$M$7:$O$100*('T-12 Inputs'!$A$7:$A$100=C32))*4</f>
        <v>0</v>
      </c>
      <c r="L32" s="346" t="e">
        <f t="shared" si="3"/>
        <v>#DIV/0!</v>
      </c>
      <c r="M32" s="307"/>
      <c r="N32" s="33" cm="1">
        <f t="array" ref="N32">+SUMPRODUCT('T-12 Inputs'!$O$7:$O$100*('T-12 Inputs'!$A$7:$A$100=C32))*12</f>
        <v>0</v>
      </c>
      <c r="O32" s="33" t="e">
        <f t="shared" si="4"/>
        <v>#DIV/0!</v>
      </c>
      <c r="P32" s="348"/>
      <c r="Q32" s="33"/>
      <c r="R32" s="349"/>
      <c r="S32" s="350" t="e">
        <f t="shared" si="6"/>
        <v>#DIV/0!</v>
      </c>
      <c r="T32" s="304"/>
      <c r="U32" s="318"/>
      <c r="V32" s="381"/>
      <c r="W32" s="33" t="e">
        <f t="shared" si="5"/>
        <v>#DIV/0!</v>
      </c>
      <c r="X32" s="353"/>
      <c r="Y32" s="354"/>
    </row>
    <row r="33" spans="3:25" outlineLevel="1" x14ac:dyDescent="0.3">
      <c r="C33" s="225" t="s">
        <v>494</v>
      </c>
      <c r="E33" s="345" cm="1">
        <f t="array" ref="E33">+SUMPRODUCT('T-12 Inputs'!$D$7:$O$100*('T-12 Inputs'!$A$7:$A$100=C33))</f>
        <v>0</v>
      </c>
      <c r="F33" s="346" t="e">
        <f t="shared" si="1"/>
        <v>#DIV/0!</v>
      </c>
      <c r="G33" s="307"/>
      <c r="H33" s="33" cm="1">
        <f t="array" ref="H33">+SUMPRODUCT('T-12 Inputs'!$J$7:$O$100*('T-12 Inputs'!$A$7:$A$100=C33))*2</f>
        <v>0</v>
      </c>
      <c r="I33" s="33" t="e">
        <f t="shared" si="2"/>
        <v>#DIV/0!</v>
      </c>
      <c r="J33" s="307"/>
      <c r="K33" s="347" cm="1">
        <f t="array" ref="K33">+SUMPRODUCT('T-12 Inputs'!$M$7:$O$100*('T-12 Inputs'!$A$7:$A$100=C33))*4</f>
        <v>0</v>
      </c>
      <c r="L33" s="346" t="e">
        <f t="shared" si="3"/>
        <v>#DIV/0!</v>
      </c>
      <c r="M33" s="307"/>
      <c r="N33" s="33" cm="1">
        <f t="array" ref="N33">+SUMPRODUCT('T-12 Inputs'!$O$7:$O$100*('T-12 Inputs'!$A$7:$A$100=C33))*12</f>
        <v>0</v>
      </c>
      <c r="O33" s="33" t="e">
        <f t="shared" si="4"/>
        <v>#DIV/0!</v>
      </c>
      <c r="P33" s="348"/>
      <c r="Q33" s="33"/>
      <c r="R33" s="349"/>
      <c r="S33" s="350"/>
      <c r="T33" s="304"/>
      <c r="U33" s="318"/>
      <c r="V33" s="381"/>
      <c r="W33" s="33" t="e">
        <f t="shared" si="5"/>
        <v>#DIV/0!</v>
      </c>
      <c r="X33" s="353"/>
      <c r="Y33" s="354"/>
    </row>
    <row r="34" spans="3:25" outlineLevel="1" x14ac:dyDescent="0.3">
      <c r="C34" s="225" t="s">
        <v>245</v>
      </c>
      <c r="E34" s="345" cm="1">
        <f t="array" ref="E34">+SUMPRODUCT('T-12 Inputs'!$D$7:$O$100*('T-12 Inputs'!$A$7:$A$100=C34))</f>
        <v>0</v>
      </c>
      <c r="F34" s="346" t="e">
        <f t="shared" si="1"/>
        <v>#DIV/0!</v>
      </c>
      <c r="G34" s="307"/>
      <c r="H34" s="33" cm="1">
        <f t="array" ref="H34">+SUMPRODUCT('T-12 Inputs'!$J$7:$O$100*('T-12 Inputs'!$A$7:$A$100=C34))*2</f>
        <v>0</v>
      </c>
      <c r="I34" s="33" t="e">
        <f t="shared" si="2"/>
        <v>#DIV/0!</v>
      </c>
      <c r="J34" s="307"/>
      <c r="K34" s="347" cm="1">
        <f t="array" ref="K34">+SUMPRODUCT('T-12 Inputs'!$M$7:$O$100*('T-12 Inputs'!$A$7:$A$100=C34))*4</f>
        <v>0</v>
      </c>
      <c r="L34" s="346" t="e">
        <f t="shared" si="3"/>
        <v>#DIV/0!</v>
      </c>
      <c r="M34" s="307"/>
      <c r="N34" s="33" cm="1">
        <f t="array" ref="N34">+SUMPRODUCT('T-12 Inputs'!$O$7:$O$100*('T-12 Inputs'!$A$7:$A$100=C34))*12</f>
        <v>0</v>
      </c>
      <c r="O34" s="33" t="e">
        <f t="shared" si="4"/>
        <v>#DIV/0!</v>
      </c>
      <c r="P34" s="348"/>
      <c r="Q34" s="33"/>
      <c r="R34" s="349"/>
      <c r="S34" s="350"/>
      <c r="T34" s="304"/>
      <c r="U34" s="318"/>
      <c r="V34" s="381"/>
      <c r="W34" s="33" t="e">
        <f t="shared" si="5"/>
        <v>#DIV/0!</v>
      </c>
      <c r="X34" s="353"/>
      <c r="Y34" s="354"/>
    </row>
    <row r="35" spans="3:25" outlineLevel="1" x14ac:dyDescent="0.3">
      <c r="C35" s="225" t="s">
        <v>241</v>
      </c>
      <c r="E35" s="345" cm="1">
        <f t="array" ref="E35">+SUMPRODUCT('T-12 Inputs'!$D$7:$O$100*('T-12 Inputs'!$A$7:$A$100=C35))</f>
        <v>0</v>
      </c>
      <c r="F35" s="346" t="e">
        <f t="shared" si="1"/>
        <v>#DIV/0!</v>
      </c>
      <c r="G35" s="307"/>
      <c r="H35" s="33" cm="1">
        <f t="array" ref="H35">+SUMPRODUCT('T-12 Inputs'!$J$7:$O$100*('T-12 Inputs'!$A$7:$A$100=C35))*2</f>
        <v>0</v>
      </c>
      <c r="I35" s="33" t="e">
        <f t="shared" si="2"/>
        <v>#DIV/0!</v>
      </c>
      <c r="J35" s="307"/>
      <c r="K35" s="347" cm="1">
        <f t="array" ref="K35">+SUMPRODUCT('T-12 Inputs'!$M$7:$O$100*('T-12 Inputs'!$A$7:$A$100=C35))*4</f>
        <v>0</v>
      </c>
      <c r="L35" s="346" t="e">
        <f t="shared" si="3"/>
        <v>#DIV/0!</v>
      </c>
      <c r="M35" s="307"/>
      <c r="N35" s="33" cm="1">
        <f t="array" ref="N35">+SUMPRODUCT('T-12 Inputs'!$O$7:$O$100*('T-12 Inputs'!$A$7:$A$100=C35))*12</f>
        <v>0</v>
      </c>
      <c r="O35" s="33" t="e">
        <f t="shared" si="4"/>
        <v>#DIV/0!</v>
      </c>
      <c r="P35" s="348"/>
      <c r="Q35" s="33"/>
      <c r="R35" s="349"/>
      <c r="S35" s="350"/>
      <c r="T35" s="304"/>
      <c r="U35" s="318"/>
      <c r="V35" s="381"/>
      <c r="W35" s="33" t="e">
        <f t="shared" si="5"/>
        <v>#DIV/0!</v>
      </c>
      <c r="X35" s="353"/>
      <c r="Y35" s="354"/>
    </row>
    <row r="36" spans="3:25" outlineLevel="1" x14ac:dyDescent="0.3">
      <c r="C36" s="225" t="s">
        <v>62</v>
      </c>
      <c r="E36" s="345" cm="1">
        <f t="array" ref="E36">+SUMPRODUCT('T-12 Inputs'!$D$7:$O$100*('T-12 Inputs'!$A$7:$A$100=C36))</f>
        <v>0</v>
      </c>
      <c r="F36" s="346" t="e">
        <f>+E36/$C$4</f>
        <v>#DIV/0!</v>
      </c>
      <c r="G36" s="307"/>
      <c r="H36" s="33" cm="1">
        <f t="array" ref="H36">+SUMPRODUCT('T-12 Inputs'!$J$7:$O$100*('T-12 Inputs'!$A$7:$A$100=C36))*2</f>
        <v>0</v>
      </c>
      <c r="I36" s="33" t="e">
        <f t="shared" si="2"/>
        <v>#DIV/0!</v>
      </c>
      <c r="J36" s="307"/>
      <c r="K36" s="347" cm="1">
        <f t="array" ref="K36">+SUMPRODUCT('T-12 Inputs'!$M$7:$O$100*('T-12 Inputs'!$A$7:$A$100=C36))*4</f>
        <v>0</v>
      </c>
      <c r="L36" s="346" t="e">
        <f t="shared" si="3"/>
        <v>#DIV/0!</v>
      </c>
      <c r="M36" s="307"/>
      <c r="N36" s="33" cm="1">
        <f t="array" ref="N36">+SUMPRODUCT('T-12 Inputs'!$O$7:$O$100*('T-12 Inputs'!$A$7:$A$100=C36))*12</f>
        <v>0</v>
      </c>
      <c r="O36" s="33" t="e">
        <f t="shared" si="4"/>
        <v>#DIV/0!</v>
      </c>
      <c r="P36" s="348"/>
      <c r="Q36" s="33"/>
      <c r="R36" s="349"/>
      <c r="S36" s="350"/>
      <c r="T36" s="304"/>
      <c r="U36" s="318"/>
      <c r="V36" s="381"/>
      <c r="W36" s="33" t="e">
        <f t="shared" si="5"/>
        <v>#DIV/0!</v>
      </c>
      <c r="X36" s="353"/>
      <c r="Y36" s="354"/>
    </row>
    <row r="37" spans="3:25" outlineLevel="1" x14ac:dyDescent="0.3">
      <c r="C37" s="225" t="s">
        <v>495</v>
      </c>
      <c r="E37" s="345" cm="1">
        <f t="array" ref="E37">+SUMPRODUCT('T-12 Inputs'!$D$7:$O$100*('T-12 Inputs'!$A$7:$A$100=C37))</f>
        <v>0</v>
      </c>
      <c r="F37" s="346" t="e">
        <f t="shared" ref="F37" si="7">+E37/$C$4</f>
        <v>#DIV/0!</v>
      </c>
      <c r="G37" s="307"/>
      <c r="H37" s="33" cm="1">
        <f t="array" ref="H37">+SUMPRODUCT('T-12 Inputs'!$J$7:$O$100*('T-12 Inputs'!$A$7:$A$100=C37))*2</f>
        <v>0</v>
      </c>
      <c r="I37" s="33" t="e">
        <f t="shared" si="2"/>
        <v>#DIV/0!</v>
      </c>
      <c r="J37" s="307"/>
      <c r="K37" s="347" cm="1">
        <f t="array" ref="K37">+SUMPRODUCT('T-12 Inputs'!$M$7:$O$100*('T-12 Inputs'!$A$7:$A$100=C37))*4</f>
        <v>0</v>
      </c>
      <c r="L37" s="346" t="e">
        <f t="shared" si="3"/>
        <v>#DIV/0!</v>
      </c>
      <c r="M37" s="307"/>
      <c r="N37" s="33" cm="1">
        <f t="array" ref="N37">+SUMPRODUCT('T-12 Inputs'!$O$7:$O$100*('T-12 Inputs'!$A$7:$A$100=C37))*12</f>
        <v>0</v>
      </c>
      <c r="O37" s="33" t="e">
        <f t="shared" si="4"/>
        <v>#DIV/0!</v>
      </c>
      <c r="P37" s="348"/>
      <c r="Q37" s="33"/>
      <c r="R37" s="349"/>
      <c r="S37" s="350"/>
      <c r="T37" s="304"/>
      <c r="U37" s="318"/>
      <c r="V37" s="381"/>
      <c r="W37" s="33" t="e">
        <f t="shared" si="5"/>
        <v>#DIV/0!</v>
      </c>
      <c r="X37" s="353"/>
      <c r="Y37" s="354"/>
    </row>
    <row r="38" spans="3:25" outlineLevel="1" x14ac:dyDescent="0.3">
      <c r="C38" s="225" t="s">
        <v>57</v>
      </c>
      <c r="E38" s="345" cm="1">
        <f t="array" ref="E38">+SUMPRODUCT('T-12 Inputs'!$D$7:$O$100*('T-12 Inputs'!$A$7:$A$100=C38))</f>
        <v>0</v>
      </c>
      <c r="F38" s="346" t="e">
        <f>+E38/$C$4</f>
        <v>#DIV/0!</v>
      </c>
      <c r="G38" s="307"/>
      <c r="H38" s="33" cm="1">
        <f t="array" ref="H38">+SUMPRODUCT('T-12 Inputs'!$J$7:$O$100*('T-12 Inputs'!$A$7:$A$100=C38))*2</f>
        <v>0</v>
      </c>
      <c r="I38" s="33" t="e">
        <f t="shared" si="2"/>
        <v>#DIV/0!</v>
      </c>
      <c r="J38" s="307"/>
      <c r="K38" s="347" cm="1">
        <f t="array" ref="K38">+SUMPRODUCT('T-12 Inputs'!$M$7:$O$100*('T-12 Inputs'!$A$7:$A$100=C38))*4</f>
        <v>0</v>
      </c>
      <c r="L38" s="346" t="e">
        <f t="shared" si="3"/>
        <v>#DIV/0!</v>
      </c>
      <c r="M38" s="307"/>
      <c r="N38" s="33" cm="1">
        <f t="array" ref="N38">+SUMPRODUCT('T-12 Inputs'!$O$7:$O$100*('T-12 Inputs'!$A$7:$A$100=C38))*12</f>
        <v>0</v>
      </c>
      <c r="O38" s="33" t="e">
        <f t="shared" si="4"/>
        <v>#DIV/0!</v>
      </c>
      <c r="P38" s="348"/>
      <c r="Q38" s="33"/>
      <c r="R38" s="349"/>
      <c r="S38" s="350"/>
      <c r="T38" s="304"/>
      <c r="U38" s="318"/>
      <c r="V38" s="381"/>
      <c r="W38" s="33" t="e">
        <f t="shared" si="5"/>
        <v>#DIV/0!</v>
      </c>
      <c r="X38" s="353"/>
      <c r="Y38" s="354"/>
    </row>
    <row r="39" spans="3:25" outlineLevel="1" x14ac:dyDescent="0.3">
      <c r="C39" s="225" t="s">
        <v>61</v>
      </c>
      <c r="E39" s="345" cm="1">
        <f t="array" ref="E39">+SUMPRODUCT('T-12 Inputs'!$D$7:$O$100*('T-12 Inputs'!$A$7:$A$100=C39))</f>
        <v>0</v>
      </c>
      <c r="F39" s="346" t="e">
        <f>+E39/$C$4</f>
        <v>#DIV/0!</v>
      </c>
      <c r="G39" s="307"/>
      <c r="H39" s="33" cm="1">
        <f t="array" ref="H39">+SUMPRODUCT('T-12 Inputs'!$J$7:$O$100*('T-12 Inputs'!$A$7:$A$100=C39))*2</f>
        <v>0</v>
      </c>
      <c r="I39" s="33" t="e">
        <f t="shared" ref="I39" si="8">+H39/$C$4</f>
        <v>#DIV/0!</v>
      </c>
      <c r="J39" s="307"/>
      <c r="K39" s="347" cm="1">
        <f t="array" ref="K39">+SUMPRODUCT('T-12 Inputs'!$M$7:$O$100*('T-12 Inputs'!$A$7:$A$100=C39))*4</f>
        <v>0</v>
      </c>
      <c r="L39" s="346" t="e">
        <f t="shared" ref="L39" si="9">+K39/$C$4</f>
        <v>#DIV/0!</v>
      </c>
      <c r="M39" s="307"/>
      <c r="N39" s="33" cm="1">
        <f t="array" ref="N39">+SUMPRODUCT('T-12 Inputs'!$O$7:$O$100*('T-12 Inputs'!$A$7:$A$100=C39))*12</f>
        <v>0</v>
      </c>
      <c r="O39" s="33" t="e">
        <f t="shared" ref="O39" si="10">+N39/$C$4</f>
        <v>#DIV/0!</v>
      </c>
      <c r="P39" s="348"/>
      <c r="Q39" s="33"/>
      <c r="R39" s="349"/>
      <c r="S39" s="350"/>
      <c r="T39" s="304"/>
      <c r="U39" s="318"/>
      <c r="V39" s="381"/>
      <c r="W39" s="33" t="e">
        <f t="shared" ref="W39" si="11">+V39/$C$4</f>
        <v>#DIV/0!</v>
      </c>
      <c r="X39" s="353"/>
      <c r="Y39" s="354"/>
    </row>
    <row r="40" spans="3:25" outlineLevel="1" x14ac:dyDescent="0.3">
      <c r="C40" s="225" t="s">
        <v>54</v>
      </c>
      <c r="E40" s="345" cm="1">
        <f t="array" ref="E40">+SUMPRODUCT('T-12 Inputs'!$D$7:$O$100*('T-12 Inputs'!$A$7:$A$100=C40))</f>
        <v>0</v>
      </c>
      <c r="F40" s="346" t="e">
        <f>+E40/$C$4</f>
        <v>#DIV/0!</v>
      </c>
      <c r="G40" s="307"/>
      <c r="H40" s="33" cm="1">
        <f t="array" ref="H40">+SUMPRODUCT('T-12 Inputs'!$J$7:$O$100*('T-12 Inputs'!$A$7:$A$100=C40))*2</f>
        <v>0</v>
      </c>
      <c r="I40" s="33" t="e">
        <f t="shared" si="2"/>
        <v>#DIV/0!</v>
      </c>
      <c r="J40" s="307"/>
      <c r="K40" s="347" cm="1">
        <f t="array" ref="K40">+SUMPRODUCT('T-12 Inputs'!$M$7:$O$100*('T-12 Inputs'!$A$7:$A$100=C40))*4</f>
        <v>0</v>
      </c>
      <c r="L40" s="346" t="e">
        <f t="shared" si="3"/>
        <v>#DIV/0!</v>
      </c>
      <c r="M40" s="307"/>
      <c r="N40" s="33" cm="1">
        <f t="array" ref="N40">+SUMPRODUCT('T-12 Inputs'!$O$7:$O$100*('T-12 Inputs'!$A$7:$A$100=C40))*12</f>
        <v>0</v>
      </c>
      <c r="O40" s="33" t="e">
        <f t="shared" si="4"/>
        <v>#DIV/0!</v>
      </c>
      <c r="P40" s="348"/>
      <c r="Q40" s="33"/>
      <c r="R40" s="349"/>
      <c r="S40" s="350"/>
      <c r="T40" s="304"/>
      <c r="U40" s="318"/>
      <c r="V40" s="381"/>
      <c r="W40" s="33" t="e">
        <f t="shared" si="5"/>
        <v>#DIV/0!</v>
      </c>
      <c r="X40" s="353"/>
      <c r="Y40" s="354"/>
    </row>
    <row r="41" spans="3:25" outlineLevel="1" x14ac:dyDescent="0.3">
      <c r="C41" s="225" t="s">
        <v>236</v>
      </c>
      <c r="E41" s="345" cm="1">
        <f t="array" ref="E41">+SUMPRODUCT('T-12 Inputs'!$D$7:$O$100*('T-12 Inputs'!$A$7:$A$100=C41))</f>
        <v>0</v>
      </c>
      <c r="F41" s="346" t="e">
        <f t="shared" ref="F41:F46" si="12">+E41/$C$4</f>
        <v>#DIV/0!</v>
      </c>
      <c r="G41" s="307"/>
      <c r="H41" s="33" cm="1">
        <f t="array" ref="H41">+SUMPRODUCT('T-12 Inputs'!$J$7:$O$100*('T-12 Inputs'!$A$7:$A$100=C41))*2</f>
        <v>0</v>
      </c>
      <c r="I41" s="33" t="e">
        <f t="shared" ref="I41:I45" si="13">+H41/$C$4</f>
        <v>#DIV/0!</v>
      </c>
      <c r="J41" s="307"/>
      <c r="K41" s="347" cm="1">
        <f t="array" ref="K41">+SUMPRODUCT('T-12 Inputs'!$M$7:$O$100*('T-12 Inputs'!$A$7:$A$100=C41))*4</f>
        <v>0</v>
      </c>
      <c r="L41" s="346" t="e">
        <f t="shared" ref="L41:L46" si="14">+K41/$C$4</f>
        <v>#DIV/0!</v>
      </c>
      <c r="M41" s="307"/>
      <c r="N41" s="33" cm="1">
        <f t="array" ref="N41">+SUMPRODUCT('T-12 Inputs'!$O$7:$O$100*('T-12 Inputs'!$A$7:$A$100=C41))*12</f>
        <v>0</v>
      </c>
      <c r="O41" s="33" t="e">
        <f t="shared" ref="O41:O46" si="15">+N41/$C$4</f>
        <v>#DIV/0!</v>
      </c>
      <c r="P41" s="348"/>
      <c r="Q41" s="33"/>
      <c r="R41" s="349"/>
      <c r="S41" s="350"/>
      <c r="T41" s="304"/>
      <c r="U41" s="318"/>
      <c r="V41" s="381"/>
      <c r="W41" s="33" t="e">
        <f t="shared" si="5"/>
        <v>#DIV/0!</v>
      </c>
      <c r="X41" s="353"/>
      <c r="Y41" s="354"/>
    </row>
    <row r="42" spans="3:25" outlineLevel="1" x14ac:dyDescent="0.3">
      <c r="C42" s="225" t="s">
        <v>53</v>
      </c>
      <c r="E42" s="345" cm="1">
        <f t="array" ref="E42">+SUMPRODUCT('T-12 Inputs'!$D$7:$O$100*('T-12 Inputs'!$A$7:$A$100=C42))</f>
        <v>0</v>
      </c>
      <c r="F42" s="346" t="e">
        <f t="shared" si="12"/>
        <v>#DIV/0!</v>
      </c>
      <c r="G42" s="307"/>
      <c r="H42" s="33" cm="1">
        <f t="array" ref="H42">+SUMPRODUCT('T-12 Inputs'!$J$7:$O$100*('T-12 Inputs'!$A$7:$A$100=C42))*2</f>
        <v>0</v>
      </c>
      <c r="I42" s="33" t="e">
        <f t="shared" si="13"/>
        <v>#DIV/0!</v>
      </c>
      <c r="J42" s="307"/>
      <c r="K42" s="347" cm="1">
        <f t="array" ref="K42">+SUMPRODUCT('T-12 Inputs'!$M$7:$O$100*('T-12 Inputs'!$A$7:$A$100=C42))*4</f>
        <v>0</v>
      </c>
      <c r="L42" s="346" t="e">
        <f t="shared" si="14"/>
        <v>#DIV/0!</v>
      </c>
      <c r="M42" s="307"/>
      <c r="N42" s="33" cm="1">
        <f t="array" ref="N42">+SUMPRODUCT('T-12 Inputs'!$O$7:$O$100*('T-12 Inputs'!$A$7:$A$100=C42))*12</f>
        <v>0</v>
      </c>
      <c r="O42" s="33" t="e">
        <f t="shared" si="15"/>
        <v>#DIV/0!</v>
      </c>
      <c r="P42" s="348"/>
      <c r="Q42" s="33"/>
      <c r="R42" s="349"/>
      <c r="S42" s="350"/>
      <c r="T42" s="304"/>
      <c r="U42" s="318"/>
      <c r="V42" s="381"/>
      <c r="W42" s="33" t="e">
        <f t="shared" si="5"/>
        <v>#DIV/0!</v>
      </c>
      <c r="X42" s="353"/>
      <c r="Y42" s="354"/>
    </row>
    <row r="43" spans="3:25" outlineLevel="1" x14ac:dyDescent="0.3">
      <c r="C43" s="225" t="s">
        <v>459</v>
      </c>
      <c r="E43" s="345" cm="1">
        <f t="array" ref="E43">+SUMPRODUCT('T-12 Inputs'!$D$7:$O$100*('T-12 Inputs'!$A$7:$A$100=C43))</f>
        <v>0</v>
      </c>
      <c r="F43" s="346" t="e">
        <f t="shared" si="12"/>
        <v>#DIV/0!</v>
      </c>
      <c r="G43" s="307"/>
      <c r="H43" s="33" cm="1">
        <f t="array" ref="H43">+SUMPRODUCT('T-12 Inputs'!$J$7:$O$100*('T-12 Inputs'!$A$7:$A$100=C43))*2</f>
        <v>0</v>
      </c>
      <c r="I43" s="33" t="e">
        <f t="shared" si="13"/>
        <v>#DIV/0!</v>
      </c>
      <c r="J43" s="307"/>
      <c r="K43" s="347" cm="1">
        <f t="array" ref="K43">+SUMPRODUCT('T-12 Inputs'!$M$7:$O$100*('T-12 Inputs'!$A$7:$A$100=C43))*4</f>
        <v>0</v>
      </c>
      <c r="L43" s="346" t="e">
        <f t="shared" si="14"/>
        <v>#DIV/0!</v>
      </c>
      <c r="M43" s="307"/>
      <c r="N43" s="33" cm="1">
        <f t="array" ref="N43">+SUMPRODUCT('T-12 Inputs'!$O$7:$O$100*('T-12 Inputs'!$A$7:$A$100=C43))*12</f>
        <v>0</v>
      </c>
      <c r="O43" s="33" t="e">
        <f t="shared" si="15"/>
        <v>#DIV/0!</v>
      </c>
      <c r="P43" s="348"/>
      <c r="Q43" s="33"/>
      <c r="R43" s="349"/>
      <c r="S43" s="350"/>
      <c r="T43" s="304"/>
      <c r="U43" s="318"/>
      <c r="V43" s="381"/>
      <c r="W43" s="33" t="e">
        <f t="shared" si="5"/>
        <v>#DIV/0!</v>
      </c>
      <c r="X43" s="353"/>
      <c r="Y43" s="354"/>
    </row>
    <row r="44" spans="3:25" outlineLevel="1" x14ac:dyDescent="0.3">
      <c r="C44" s="225" t="s">
        <v>457</v>
      </c>
      <c r="E44" s="345" cm="1">
        <f t="array" ref="E44">+SUMPRODUCT('T-12 Inputs'!$D$7:$O$100*('T-12 Inputs'!$A$7:$A$100=C44))</f>
        <v>0</v>
      </c>
      <c r="F44" s="346" t="e">
        <f t="shared" si="12"/>
        <v>#DIV/0!</v>
      </c>
      <c r="G44" s="307"/>
      <c r="H44" s="33" cm="1">
        <f t="array" ref="H44">+SUMPRODUCT('T-12 Inputs'!$J$7:$O$100*('T-12 Inputs'!$A$7:$A$100=C44))*2</f>
        <v>0</v>
      </c>
      <c r="I44" s="33" t="e">
        <f t="shared" si="13"/>
        <v>#DIV/0!</v>
      </c>
      <c r="J44" s="307"/>
      <c r="K44" s="347" cm="1">
        <f t="array" ref="K44">+SUMPRODUCT('T-12 Inputs'!$M$7:$O$100*('T-12 Inputs'!$A$7:$A$100=C44))*4</f>
        <v>0</v>
      </c>
      <c r="L44" s="346" t="e">
        <f t="shared" si="14"/>
        <v>#DIV/0!</v>
      </c>
      <c r="M44" s="307"/>
      <c r="N44" s="33" cm="1">
        <f t="array" ref="N44">+SUMPRODUCT('T-12 Inputs'!$O$7:$O$100*('T-12 Inputs'!$A$7:$A$100=C44))*12</f>
        <v>0</v>
      </c>
      <c r="O44" s="33" t="e">
        <f t="shared" si="15"/>
        <v>#DIV/0!</v>
      </c>
      <c r="P44" s="348"/>
      <c r="Q44" s="33"/>
      <c r="R44" s="349"/>
      <c r="S44" s="350"/>
      <c r="T44" s="304"/>
      <c r="U44" s="318"/>
      <c r="V44" s="381"/>
      <c r="W44" s="33" t="e">
        <f t="shared" si="5"/>
        <v>#DIV/0!</v>
      </c>
      <c r="X44" s="353"/>
      <c r="Y44" s="354"/>
    </row>
    <row r="45" spans="3:25" outlineLevel="1" x14ac:dyDescent="0.3">
      <c r="C45" s="225" t="s">
        <v>60</v>
      </c>
      <c r="E45" s="345" cm="1">
        <f t="array" ref="E45">+SUMPRODUCT('T-12 Inputs'!$D$7:$O$100*('T-12 Inputs'!$A$7:$A$100=C45))</f>
        <v>0</v>
      </c>
      <c r="F45" s="346" t="e">
        <f t="shared" si="12"/>
        <v>#DIV/0!</v>
      </c>
      <c r="G45" s="307"/>
      <c r="H45" s="33" cm="1">
        <f t="array" ref="H45">+SUMPRODUCT('T-12 Inputs'!$J$7:$O$100*('T-12 Inputs'!$A$7:$A$100=C45))*2</f>
        <v>0</v>
      </c>
      <c r="I45" s="33" t="e">
        <f t="shared" si="13"/>
        <v>#DIV/0!</v>
      </c>
      <c r="J45" s="307"/>
      <c r="K45" s="347" cm="1">
        <f t="array" ref="K45">+SUMPRODUCT('T-12 Inputs'!$M$7:$O$100*('T-12 Inputs'!$A$7:$A$100=C45))*4</f>
        <v>0</v>
      </c>
      <c r="L45" s="346" t="e">
        <f t="shared" si="14"/>
        <v>#DIV/0!</v>
      </c>
      <c r="M45" s="307"/>
      <c r="N45" s="33" cm="1">
        <f t="array" ref="N45">+SUMPRODUCT('T-12 Inputs'!$O$7:$O$100*('T-12 Inputs'!$A$7:$A$100=C45))*12</f>
        <v>0</v>
      </c>
      <c r="O45" s="33" t="e">
        <f t="shared" si="15"/>
        <v>#DIV/0!</v>
      </c>
      <c r="P45" s="348"/>
      <c r="Q45" s="33"/>
      <c r="R45" s="349"/>
      <c r="S45" s="350"/>
      <c r="T45" s="304"/>
      <c r="U45" s="318"/>
      <c r="V45" s="381"/>
      <c r="W45" s="33" t="e">
        <f t="shared" si="5"/>
        <v>#DIV/0!</v>
      </c>
      <c r="X45" s="353"/>
      <c r="Y45" s="354"/>
    </row>
    <row r="46" spans="3:25" outlineLevel="1" x14ac:dyDescent="0.3">
      <c r="C46" s="225" t="s">
        <v>461</v>
      </c>
      <c r="E46" s="345" cm="1">
        <f t="array" ref="E46">+SUMPRODUCT('T-12 Inputs'!$D$7:$O$100*('T-12 Inputs'!$A$7:$A$100=C46))</f>
        <v>0</v>
      </c>
      <c r="F46" s="346" t="e">
        <f t="shared" si="12"/>
        <v>#DIV/0!</v>
      </c>
      <c r="G46" s="307"/>
      <c r="H46" s="33" cm="1">
        <f t="array" ref="H46">+SUMPRODUCT('T-12 Inputs'!$J$7:$O$100*('T-12 Inputs'!$A$7:$A$100=C46))*2</f>
        <v>0</v>
      </c>
      <c r="I46" s="33" t="e">
        <f t="shared" ref="I46" si="16">+H46/$C$4</f>
        <v>#DIV/0!</v>
      </c>
      <c r="J46" s="307"/>
      <c r="K46" s="347" cm="1">
        <f t="array" ref="K46">+SUMPRODUCT('T-12 Inputs'!$M$7:$O$100*('T-12 Inputs'!$A$7:$A$100=C46))*4</f>
        <v>0</v>
      </c>
      <c r="L46" s="346" t="e">
        <f t="shared" si="14"/>
        <v>#DIV/0!</v>
      </c>
      <c r="M46" s="307"/>
      <c r="N46" s="33" cm="1">
        <f t="array" ref="N46">+SUMPRODUCT('T-12 Inputs'!$O$7:$O$100*('T-12 Inputs'!$A$7:$A$100=C46))*12</f>
        <v>0</v>
      </c>
      <c r="O46" s="33" t="e">
        <f t="shared" si="15"/>
        <v>#DIV/0!</v>
      </c>
      <c r="P46" s="348"/>
      <c r="Q46" s="33"/>
      <c r="R46" s="349"/>
      <c r="S46" s="350"/>
      <c r="T46" s="304"/>
      <c r="U46" s="318"/>
      <c r="V46" s="381"/>
      <c r="W46" s="33" t="e">
        <f t="shared" si="5"/>
        <v>#DIV/0!</v>
      </c>
      <c r="X46" s="353"/>
      <c r="Y46" s="354"/>
    </row>
    <row r="47" spans="3:25" outlineLevel="1" x14ac:dyDescent="0.3">
      <c r="C47" s="225" t="s">
        <v>234</v>
      </c>
      <c r="E47" s="345" cm="1">
        <f t="array" ref="E47">+SUMPRODUCT('T-12 Inputs'!$D$7:$O$100*('T-12 Inputs'!$A$7:$A$100=C47))</f>
        <v>0</v>
      </c>
      <c r="F47" s="346" t="e">
        <f t="shared" ref="F47:F48" si="17">+E47/$C$4</f>
        <v>#DIV/0!</v>
      </c>
      <c r="G47" s="307"/>
      <c r="H47" s="33" cm="1">
        <f t="array" ref="H47">+SUMPRODUCT('T-12 Inputs'!$J$7:$O$100*('T-12 Inputs'!$A$7:$A$100=C47))*2</f>
        <v>0</v>
      </c>
      <c r="I47" s="33" t="e">
        <f t="shared" si="2"/>
        <v>#DIV/0!</v>
      </c>
      <c r="J47" s="307"/>
      <c r="K47" s="347" cm="1">
        <f t="array" ref="K47">+SUMPRODUCT('T-12 Inputs'!$M$7:$O$100*('T-12 Inputs'!$A$7:$A$100=C47))*4</f>
        <v>0</v>
      </c>
      <c r="L47" s="346" t="e">
        <f t="shared" si="3"/>
        <v>#DIV/0!</v>
      </c>
      <c r="M47" s="307"/>
      <c r="N47" s="33" cm="1">
        <f t="array" ref="N47">+SUMPRODUCT('T-12 Inputs'!$O$7:$O$100*('T-12 Inputs'!$A$7:$A$100=C47))*12</f>
        <v>0</v>
      </c>
      <c r="O47" s="33" t="e">
        <f t="shared" si="4"/>
        <v>#DIV/0!</v>
      </c>
      <c r="P47" s="348"/>
      <c r="Q47" s="33"/>
      <c r="R47" s="349"/>
      <c r="S47" s="350"/>
      <c r="T47" s="304"/>
      <c r="U47" s="318"/>
      <c r="V47" s="381"/>
      <c r="W47" s="33" t="e">
        <f t="shared" si="5"/>
        <v>#DIV/0!</v>
      </c>
      <c r="X47" s="353"/>
      <c r="Y47" s="354"/>
    </row>
    <row r="48" spans="3:25" x14ac:dyDescent="0.3">
      <c r="C48" s="203" t="s">
        <v>73</v>
      </c>
      <c r="D48" s="204"/>
      <c r="E48" s="371">
        <f>SUM(E23:E47)</f>
        <v>0</v>
      </c>
      <c r="F48" s="372" t="e">
        <f t="shared" si="17"/>
        <v>#DIV/0!</v>
      </c>
      <c r="G48" s="307"/>
      <c r="H48" s="373">
        <f>SUM(H23:H47)</f>
        <v>0</v>
      </c>
      <c r="I48" s="246" t="e">
        <f t="shared" si="2"/>
        <v>#DIV/0!</v>
      </c>
      <c r="J48" s="307"/>
      <c r="K48" s="373">
        <f>SUM(K23:K47)</f>
        <v>0</v>
      </c>
      <c r="L48" s="372" t="e">
        <f t="shared" si="3"/>
        <v>#DIV/0!</v>
      </c>
      <c r="M48" s="307"/>
      <c r="N48" s="246">
        <f>SUM(N23:N47)</f>
        <v>0</v>
      </c>
      <c r="O48" s="246" t="e">
        <f t="shared" si="4"/>
        <v>#DIV/0!</v>
      </c>
      <c r="P48" s="374"/>
      <c r="Q48" s="332"/>
      <c r="R48" s="366">
        <f>SUM(R24:R34)</f>
        <v>0</v>
      </c>
      <c r="S48" s="375" t="e">
        <f t="shared" ref="S48" si="18">+R48/$C$4</f>
        <v>#DIV/0!</v>
      </c>
      <c r="T48" s="304"/>
      <c r="U48" s="376"/>
      <c r="V48" s="150">
        <f>SUM(V23:V47)</f>
        <v>0</v>
      </c>
      <c r="W48" s="246" t="e">
        <f t="shared" si="5"/>
        <v>#DIV/0!</v>
      </c>
      <c r="X48" s="382"/>
      <c r="Y48" s="383"/>
    </row>
    <row r="49" spans="3:27" ht="9" customHeight="1" x14ac:dyDescent="0.3">
      <c r="C49" s="225"/>
      <c r="E49" s="318"/>
      <c r="F49" s="378"/>
      <c r="G49" s="307"/>
      <c r="J49" s="307"/>
      <c r="K49" s="225"/>
      <c r="L49" s="378"/>
      <c r="M49" s="307"/>
      <c r="P49" s="379"/>
      <c r="R49" s="380"/>
      <c r="S49" s="379"/>
      <c r="T49" s="304"/>
      <c r="U49" s="318"/>
      <c r="V49" s="307"/>
      <c r="X49" s="225"/>
      <c r="Y49" s="317"/>
    </row>
    <row r="50" spans="3:27" x14ac:dyDescent="0.3">
      <c r="C50" s="384" t="s">
        <v>217</v>
      </c>
      <c r="D50" s="385"/>
      <c r="E50" s="386">
        <f>+E21+E48</f>
        <v>0</v>
      </c>
      <c r="F50" s="387" t="e">
        <f>+F21+F48</f>
        <v>#DIV/0!</v>
      </c>
      <c r="G50" s="307"/>
      <c r="H50" s="388">
        <f>+H21+H48</f>
        <v>0</v>
      </c>
      <c r="I50" s="388" t="e">
        <f>+I21+I48</f>
        <v>#DIV/0!</v>
      </c>
      <c r="J50" s="307"/>
      <c r="K50" s="389">
        <f>+K21+K48</f>
        <v>0</v>
      </c>
      <c r="L50" s="387" t="e">
        <f>+L21+L48</f>
        <v>#DIV/0!</v>
      </c>
      <c r="M50" s="307"/>
      <c r="N50" s="388">
        <f>+N21+N48</f>
        <v>0</v>
      </c>
      <c r="O50" s="388" t="e">
        <f>+O21+O48</f>
        <v>#DIV/0!</v>
      </c>
      <c r="P50" s="374"/>
      <c r="Q50" s="332"/>
      <c r="R50" s="390">
        <f>+R21+R48</f>
        <v>0</v>
      </c>
      <c r="S50" s="391" t="e">
        <f>+R50/C4</f>
        <v>#DIV/0!</v>
      </c>
      <c r="T50" s="304"/>
      <c r="U50" s="376"/>
      <c r="V50" s="392" t="e">
        <f>+V21+V48</f>
        <v>#DIV/0!</v>
      </c>
      <c r="W50" s="388" t="e">
        <f>+V50/$C$4</f>
        <v>#DIV/0!</v>
      </c>
      <c r="X50" s="209"/>
      <c r="Y50" s="377"/>
    </row>
    <row r="51" spans="3:27" ht="12" customHeight="1" x14ac:dyDescent="0.3">
      <c r="C51" s="225"/>
      <c r="E51" s="318"/>
      <c r="F51" s="378"/>
      <c r="G51" s="307"/>
      <c r="J51" s="307"/>
      <c r="K51" s="225"/>
      <c r="L51" s="378"/>
      <c r="M51" s="307"/>
      <c r="P51" s="379"/>
      <c r="R51" s="393"/>
      <c r="S51" s="394"/>
      <c r="T51" s="304"/>
      <c r="U51" s="318"/>
      <c r="V51" s="307"/>
      <c r="X51" s="225"/>
      <c r="Y51" s="317"/>
    </row>
    <row r="52" spans="3:27" x14ac:dyDescent="0.3">
      <c r="C52" s="748" t="s">
        <v>76</v>
      </c>
      <c r="D52" s="771"/>
      <c r="E52" s="376"/>
      <c r="F52" s="395"/>
      <c r="G52" s="307"/>
      <c r="H52" s="210"/>
      <c r="I52" s="210"/>
      <c r="J52" s="307"/>
      <c r="K52" s="209"/>
      <c r="L52" s="395"/>
      <c r="M52" s="307"/>
      <c r="N52" s="210"/>
      <c r="O52" s="210"/>
      <c r="P52" s="394"/>
      <c r="R52" s="393"/>
      <c r="S52" s="394"/>
      <c r="T52" s="304"/>
      <c r="U52" s="376"/>
      <c r="V52" s="25"/>
      <c r="W52" s="210"/>
      <c r="X52" s="209"/>
      <c r="Y52" s="377"/>
    </row>
    <row r="53" spans="3:27" ht="3.6" customHeight="1" x14ac:dyDescent="0.3">
      <c r="C53" s="225"/>
      <c r="E53" s="318"/>
      <c r="F53" s="378"/>
      <c r="G53" s="307"/>
      <c r="J53" s="307"/>
      <c r="K53" s="225"/>
      <c r="L53" s="378"/>
      <c r="M53" s="307"/>
      <c r="P53" s="379"/>
      <c r="R53" s="380"/>
      <c r="S53" s="379"/>
      <c r="T53" s="304"/>
      <c r="U53" s="318"/>
      <c r="V53" s="307"/>
      <c r="X53" s="225"/>
      <c r="Y53" s="317"/>
    </row>
    <row r="54" spans="3:27" outlineLevel="1" x14ac:dyDescent="0.3">
      <c r="C54" s="225" t="s">
        <v>359</v>
      </c>
      <c r="E54" s="396" cm="1">
        <f t="array" ref="E54">+SUMPRODUCT('T-12 Inputs'!$D$105:$O$430*('T-12 Inputs'!$A$105:$A$430=C54))</f>
        <v>0</v>
      </c>
      <c r="F54" s="397" t="e">
        <f t="shared" ref="F54:F60" si="19">+E54/$C$4</f>
        <v>#DIV/0!</v>
      </c>
      <c r="G54" s="307"/>
      <c r="H54" s="398" cm="1">
        <f t="array" ref="H54">+SUMPRODUCT('T-12 Inputs'!$J$105:$O$430*('T-12 Inputs'!$A$105:$A$430=C54))*2</f>
        <v>0</v>
      </c>
      <c r="I54" s="398" t="e">
        <f t="shared" ref="I54:I60" si="20">+H54/$C$4</f>
        <v>#DIV/0!</v>
      </c>
      <c r="J54" s="307"/>
      <c r="K54" s="399" cm="1">
        <f t="array" ref="K54">+SUMPRODUCT('T-12 Inputs'!$M$105:$O$430*('T-12 Inputs'!$A$105:$A$430=C54))*4</f>
        <v>0</v>
      </c>
      <c r="L54" s="397" t="e">
        <f t="shared" ref="L54:L60" si="21">+K54/$C$4</f>
        <v>#DIV/0!</v>
      </c>
      <c r="M54" s="307"/>
      <c r="N54" s="398" cm="1">
        <f t="array" ref="N54">+SUMPRODUCT('T-12 Inputs'!$O$105:$O$430*('T-12 Inputs'!$A$105:$A$430=C54))*12</f>
        <v>0</v>
      </c>
      <c r="O54" s="398" t="e">
        <f t="shared" ref="O54:O60" si="22">+N54/$C$4</f>
        <v>#DIV/0!</v>
      </c>
      <c r="P54" s="348"/>
      <c r="Q54" s="33"/>
      <c r="R54" s="349"/>
      <c r="S54" s="348" t="e">
        <f>+R54/$C$4</f>
        <v>#DIV/0!</v>
      </c>
      <c r="T54" s="304"/>
      <c r="U54" s="318"/>
      <c r="V54" s="381">
        <f>'Payroll Schedule'!G21</f>
        <v>226040</v>
      </c>
      <c r="W54" s="33" t="e">
        <f>+V54/$C$4</f>
        <v>#DIV/0!</v>
      </c>
      <c r="X54" s="353"/>
      <c r="Y54" s="354" t="s">
        <v>489</v>
      </c>
      <c r="AA54" s="121"/>
    </row>
    <row r="55" spans="3:27" outlineLevel="1" x14ac:dyDescent="0.3">
      <c r="C55" s="225" t="s">
        <v>181</v>
      </c>
      <c r="E55" s="396" cm="1">
        <f t="array" ref="E55">+SUMPRODUCT('T-12 Inputs'!$D$105:$O$430*('T-12 Inputs'!$A$105:$A$430=C55))</f>
        <v>0</v>
      </c>
      <c r="F55" s="397" t="e">
        <f t="shared" si="19"/>
        <v>#DIV/0!</v>
      </c>
      <c r="G55" s="307"/>
      <c r="H55" s="398" cm="1">
        <f t="array" ref="H55">+SUMPRODUCT('T-12 Inputs'!$J$105:$O$430*('T-12 Inputs'!$A$105:$A$430=C55))*2</f>
        <v>0</v>
      </c>
      <c r="I55" s="398" t="e">
        <f t="shared" si="20"/>
        <v>#DIV/0!</v>
      </c>
      <c r="J55" s="307"/>
      <c r="K55" s="399" cm="1">
        <f t="array" ref="K55">+SUMPRODUCT('T-12 Inputs'!$M$105:$O$430*('T-12 Inputs'!$A$105:$A$430=C55))*4</f>
        <v>0</v>
      </c>
      <c r="L55" s="397" t="e">
        <f t="shared" si="21"/>
        <v>#DIV/0!</v>
      </c>
      <c r="M55" s="307"/>
      <c r="N55" s="398" cm="1">
        <f t="array" ref="N55">+SUMPRODUCT('T-12 Inputs'!$O$105:$O$430*('T-12 Inputs'!$A$105:$A$430=C55))*12</f>
        <v>0</v>
      </c>
      <c r="O55" s="398" t="e">
        <f t="shared" si="22"/>
        <v>#DIV/0!</v>
      </c>
      <c r="P55" s="348"/>
      <c r="Q55" s="33"/>
      <c r="R55" s="349"/>
      <c r="S55" s="348" t="e">
        <f t="shared" ref="S55" si="23">+R55/$C$4</f>
        <v>#DIV/0!</v>
      </c>
      <c r="T55" s="304"/>
      <c r="U55" s="318"/>
      <c r="V55" s="381">
        <f>'Payroll Schedule'!G34</f>
        <v>198640</v>
      </c>
      <c r="W55" s="33" t="e">
        <f>+V55/$C$4</f>
        <v>#DIV/0!</v>
      </c>
      <c r="X55" s="353"/>
      <c r="Y55" s="354" t="s">
        <v>489</v>
      </c>
    </row>
    <row r="56" spans="3:27" outlineLevel="1" x14ac:dyDescent="0.3">
      <c r="C56" s="225" t="s">
        <v>229</v>
      </c>
      <c r="E56" s="396" cm="1">
        <f t="array" ref="E56">+SUMPRODUCT('T-12 Inputs'!$D$105:$O$430*('T-12 Inputs'!$A$105:$A$430=C56))</f>
        <v>0</v>
      </c>
      <c r="F56" s="397" t="e">
        <f t="shared" si="19"/>
        <v>#DIV/0!</v>
      </c>
      <c r="G56" s="307"/>
      <c r="H56" s="398" cm="1">
        <f t="array" ref="H56">+SUMPRODUCT('T-12 Inputs'!$J$105:$O$430*('T-12 Inputs'!$A$105:$A$430=C56))*2</f>
        <v>0</v>
      </c>
      <c r="I56" s="398" t="e">
        <f t="shared" si="20"/>
        <v>#DIV/0!</v>
      </c>
      <c r="J56" s="307"/>
      <c r="K56" s="399" cm="1">
        <f t="array" ref="K56">+SUMPRODUCT('T-12 Inputs'!$M$105:$O$430*('T-12 Inputs'!$A$105:$A$430=C56))*4</f>
        <v>0</v>
      </c>
      <c r="L56" s="397" t="e">
        <f t="shared" si="21"/>
        <v>#DIV/0!</v>
      </c>
      <c r="M56" s="307"/>
      <c r="N56" s="398" cm="1">
        <f t="array" ref="N56">+SUMPRODUCT('T-12 Inputs'!$O$105:$O$430*('T-12 Inputs'!$A$105:$A$430=C56))*12</f>
        <v>0</v>
      </c>
      <c r="O56" s="398" t="e">
        <f t="shared" si="22"/>
        <v>#DIV/0!</v>
      </c>
      <c r="P56" s="348"/>
      <c r="Q56" s="33"/>
      <c r="R56" s="349"/>
      <c r="S56" s="348"/>
      <c r="T56" s="304"/>
      <c r="U56" s="318"/>
      <c r="V56" s="381">
        <f>+SUM('Payroll Schedule'!H21,'Payroll Schedule'!H34,'Payroll Schedule'!D51)</f>
        <v>114482.5</v>
      </c>
      <c r="W56" s="33" t="e">
        <f t="shared" ref="W56:W58" si="24">+V56/$C$4</f>
        <v>#DIV/0!</v>
      </c>
      <c r="X56" s="353"/>
      <c r="Y56" s="354" t="e">
        <f>CONCATENATE("Morgan burden estimated at ",TEXT('Payroll Schedule'!H13,"0%")," vs. in-place burden of ",TEXT(ROUND(E56/SUM(E54:E55),2),"0%"),".")</f>
        <v>#DIV/0!</v>
      </c>
    </row>
    <row r="57" spans="3:27" outlineLevel="1" x14ac:dyDescent="0.3">
      <c r="C57" s="225" t="s">
        <v>182</v>
      </c>
      <c r="E57" s="396" cm="1">
        <f t="array" ref="E57">+SUMPRODUCT('T-12 Inputs'!$D$105:$O$430*('T-12 Inputs'!$A$105:$A$430=C57))</f>
        <v>0</v>
      </c>
      <c r="F57" s="397" t="e">
        <f t="shared" si="19"/>
        <v>#DIV/0!</v>
      </c>
      <c r="G57" s="307"/>
      <c r="H57" s="398" cm="1">
        <f t="array" ref="H57">+SUMPRODUCT('T-12 Inputs'!$J$105:$O$430*('T-12 Inputs'!$A$105:$A$430=C57))*2</f>
        <v>0</v>
      </c>
      <c r="I57" s="398" t="e">
        <f t="shared" si="20"/>
        <v>#DIV/0!</v>
      </c>
      <c r="J57" s="307"/>
      <c r="K57" s="399" cm="1">
        <f t="array" ref="K57">+SUMPRODUCT('T-12 Inputs'!$M$105:$O$430*('T-12 Inputs'!$A$105:$A$430=C57))*4</f>
        <v>0</v>
      </c>
      <c r="L57" s="397" t="e">
        <f t="shared" si="21"/>
        <v>#DIV/0!</v>
      </c>
      <c r="M57" s="307"/>
      <c r="N57" s="398" cm="1">
        <f t="array" ref="N57">+SUMPRODUCT('T-12 Inputs'!$O$105:$O$430*('T-12 Inputs'!$A$105:$A$430=C57))*12</f>
        <v>0</v>
      </c>
      <c r="O57" s="398" t="e">
        <f t="shared" si="22"/>
        <v>#DIV/0!</v>
      </c>
      <c r="P57" s="348"/>
      <c r="Q57" s="33"/>
      <c r="R57" s="349"/>
      <c r="S57" s="348"/>
      <c r="T57" s="304"/>
      <c r="U57" s="318"/>
      <c r="V57" s="381">
        <v>0</v>
      </c>
      <c r="W57" s="33" t="e">
        <f t="shared" si="24"/>
        <v>#DIV/0!</v>
      </c>
      <c r="X57" s="353"/>
      <c r="Y57" s="354"/>
    </row>
    <row r="58" spans="3:27" outlineLevel="1" x14ac:dyDescent="0.3">
      <c r="C58" s="225" t="s">
        <v>357</v>
      </c>
      <c r="E58" s="396" cm="1">
        <f t="array" ref="E58">+SUMPRODUCT('T-12 Inputs'!$D$105:$O$430*('T-12 Inputs'!$A$105:$A$430=C58))</f>
        <v>0</v>
      </c>
      <c r="F58" s="397" t="e">
        <f t="shared" si="19"/>
        <v>#DIV/0!</v>
      </c>
      <c r="G58" s="307"/>
      <c r="H58" s="398" cm="1">
        <f t="array" ref="H58">+SUMPRODUCT('T-12 Inputs'!$J$105:$O$430*('T-12 Inputs'!$A$105:$A$430=C58))*2</f>
        <v>0</v>
      </c>
      <c r="I58" s="398" t="e">
        <f t="shared" si="20"/>
        <v>#DIV/0!</v>
      </c>
      <c r="J58" s="307"/>
      <c r="K58" s="399" cm="1">
        <f t="array" ref="K58">+SUMPRODUCT('T-12 Inputs'!$M$105:$O$430*('T-12 Inputs'!$A$105:$A$430=C58))*4</f>
        <v>0</v>
      </c>
      <c r="L58" s="397" t="e">
        <f t="shared" si="21"/>
        <v>#DIV/0!</v>
      </c>
      <c r="M58" s="307"/>
      <c r="N58" s="398" cm="1">
        <f t="array" ref="N58">+SUMPRODUCT('T-12 Inputs'!$O$105:$O$430*('T-12 Inputs'!$A$105:$A$430=C58))*12</f>
        <v>0</v>
      </c>
      <c r="O58" s="398" t="e">
        <f t="shared" si="22"/>
        <v>#DIV/0!</v>
      </c>
      <c r="P58" s="348"/>
      <c r="Q58" s="33"/>
      <c r="R58" s="349"/>
      <c r="S58" s="348" t="e">
        <f t="shared" ref="S58" si="25">+R58/$C$4</f>
        <v>#DIV/0!</v>
      </c>
      <c r="T58" s="304"/>
      <c r="U58" s="318"/>
      <c r="V58" s="381">
        <f>+'Payroll Schedule'!D40</f>
        <v>0</v>
      </c>
      <c r="W58" s="33" t="e">
        <f t="shared" si="24"/>
        <v>#DIV/0!</v>
      </c>
      <c r="X58" s="353"/>
      <c r="Y58" s="354" t="s">
        <v>489</v>
      </c>
    </row>
    <row r="59" spans="3:27" outlineLevel="1" x14ac:dyDescent="0.3">
      <c r="C59" s="225" t="s">
        <v>462</v>
      </c>
      <c r="E59" s="396" cm="1">
        <f t="array" ref="E59">+SUMPRODUCT('T-12 Inputs'!$D$105:$O$430*('T-12 Inputs'!$A$105:$A$430=C59))</f>
        <v>0</v>
      </c>
      <c r="F59" s="397" t="e">
        <f t="shared" si="19"/>
        <v>#DIV/0!</v>
      </c>
      <c r="G59" s="307"/>
      <c r="H59" s="398" cm="1">
        <f t="array" ref="H59">+SUMPRODUCT('T-12 Inputs'!$J$105:$O$430*('T-12 Inputs'!$A$105:$A$430=C59))*2</f>
        <v>0</v>
      </c>
      <c r="I59" s="398" t="e">
        <f t="shared" si="20"/>
        <v>#DIV/0!</v>
      </c>
      <c r="J59" s="307"/>
      <c r="K59" s="399" cm="1">
        <f t="array" ref="K59">+SUMPRODUCT('T-12 Inputs'!$M$105:$O$430*('T-12 Inputs'!$A$105:$A$430=C59))*4</f>
        <v>0</v>
      </c>
      <c r="L59" s="397" t="e">
        <f t="shared" si="21"/>
        <v>#DIV/0!</v>
      </c>
      <c r="M59" s="307"/>
      <c r="N59" s="398" cm="1">
        <f t="array" ref="N59">+SUMPRODUCT('T-12 Inputs'!$O$105:$O$430*('T-12 Inputs'!$A$105:$A$430=C59))*12</f>
        <v>0</v>
      </c>
      <c r="O59" s="398" t="e">
        <f t="shared" si="22"/>
        <v>#DIV/0!</v>
      </c>
      <c r="P59" s="348"/>
      <c r="Q59" s="33"/>
      <c r="R59" s="349"/>
      <c r="S59" s="348" t="e">
        <f>+R59/$C$4</f>
        <v>#DIV/0!</v>
      </c>
      <c r="T59" s="304"/>
      <c r="U59" s="318"/>
      <c r="V59" s="381">
        <f>+'Payroll Schedule'!C51</f>
        <v>33250</v>
      </c>
      <c r="W59" s="33" t="e">
        <f>+V59/$C$4</f>
        <v>#DIV/0!</v>
      </c>
      <c r="X59" s="353"/>
      <c r="Y59" s="354" t="s">
        <v>489</v>
      </c>
    </row>
    <row r="60" spans="3:27" s="162" customFormat="1" x14ac:dyDescent="0.3">
      <c r="C60" s="203" t="s">
        <v>184</v>
      </c>
      <c r="D60" s="204"/>
      <c r="E60" s="371">
        <f>SUM(E54:E59)</f>
        <v>0</v>
      </c>
      <c r="F60" s="372" t="e">
        <f t="shared" si="19"/>
        <v>#DIV/0!</v>
      </c>
      <c r="G60" s="329"/>
      <c r="H60" s="246">
        <f>SUM(H54:H59)</f>
        <v>0</v>
      </c>
      <c r="I60" s="246" t="e">
        <f t="shared" si="20"/>
        <v>#DIV/0!</v>
      </c>
      <c r="J60" s="329"/>
      <c r="K60" s="373">
        <f>SUM(K54:K59)</f>
        <v>0</v>
      </c>
      <c r="L60" s="372" t="e">
        <f t="shared" si="21"/>
        <v>#DIV/0!</v>
      </c>
      <c r="M60" s="329"/>
      <c r="N60" s="246">
        <f>SUM(N54:N59)</f>
        <v>0</v>
      </c>
      <c r="O60" s="246" t="e">
        <f t="shared" si="22"/>
        <v>#DIV/0!</v>
      </c>
      <c r="P60" s="374"/>
      <c r="Q60" s="332"/>
      <c r="R60" s="366">
        <f>SUM(R54:R59)</f>
        <v>0</v>
      </c>
      <c r="S60" s="374" t="e">
        <f>+R60/$C$4</f>
        <v>#DIV/0!</v>
      </c>
      <c r="T60" s="400"/>
      <c r="U60" s="401"/>
      <c r="V60" s="150">
        <f>SUM(V54:V59)</f>
        <v>572412.5</v>
      </c>
      <c r="W60" s="402" t="e">
        <f>+V60/C4</f>
        <v>#DIV/0!</v>
      </c>
      <c r="X60" s="384"/>
      <c r="Y60" s="383"/>
    </row>
    <row r="61" spans="3:27" ht="9.6" customHeight="1" x14ac:dyDescent="0.3">
      <c r="C61" s="225"/>
      <c r="E61" s="318"/>
      <c r="F61" s="346"/>
      <c r="G61" s="307"/>
      <c r="I61" s="33"/>
      <c r="J61" s="307"/>
      <c r="K61" s="225"/>
      <c r="L61" s="346"/>
      <c r="M61" s="307"/>
      <c r="O61" s="33"/>
      <c r="P61" s="348"/>
      <c r="Q61" s="33"/>
      <c r="R61" s="369"/>
      <c r="S61" s="348"/>
      <c r="T61" s="304"/>
      <c r="U61" s="318"/>
      <c r="V61" s="307"/>
      <c r="X61" s="225"/>
      <c r="Y61" s="317"/>
    </row>
    <row r="62" spans="3:27" outlineLevel="1" x14ac:dyDescent="0.3">
      <c r="C62" s="225" t="str">
        <f>'OpStatement List - Dropdowns'!L13</f>
        <v>G&amp;A</v>
      </c>
      <c r="E62" s="396" cm="1">
        <f t="array" ref="E62">+SUMPRODUCT('T-12 Inputs'!$D$105:$O$430*('T-12 Inputs'!$A$105:$A$430=C62))</f>
        <v>0</v>
      </c>
      <c r="F62" s="397" t="e">
        <f t="shared" ref="F62:F68" si="26">+E62/$C$4</f>
        <v>#DIV/0!</v>
      </c>
      <c r="G62" s="307"/>
      <c r="H62" s="398" cm="1">
        <f t="array" ref="H62">+SUMPRODUCT('T-12 Inputs'!$J$105:$O$430*('T-12 Inputs'!$A$105:$A$430=C62))*2</f>
        <v>0</v>
      </c>
      <c r="I62" s="398" t="e">
        <f t="shared" ref="I62:I68" si="27">+H62/$C$4</f>
        <v>#DIV/0!</v>
      </c>
      <c r="J62" s="352"/>
      <c r="K62" s="399" cm="1">
        <f t="array" ref="K62">+SUMPRODUCT('T-12 Inputs'!$M$105:$O$430*('T-12 Inputs'!$A$105:$A$430=C62))*4</f>
        <v>0</v>
      </c>
      <c r="L62" s="397" t="e">
        <f t="shared" ref="L62:L68" si="28">+K62/$C$4</f>
        <v>#DIV/0!</v>
      </c>
      <c r="M62" s="352"/>
      <c r="N62" s="398" cm="1">
        <f t="array" ref="N62">+SUMPRODUCT('T-12 Inputs'!$O$105:$O$430*('T-12 Inputs'!$A$105:$A$430=C62))*12</f>
        <v>0</v>
      </c>
      <c r="O62" s="398" t="e">
        <f t="shared" ref="O62:O68" si="29">+N62/$C$4</f>
        <v>#DIV/0!</v>
      </c>
      <c r="P62" s="348"/>
      <c r="Q62" s="33"/>
      <c r="R62" s="349"/>
      <c r="S62" s="348" t="e">
        <f>+R62/$C$4</f>
        <v>#DIV/0!</v>
      </c>
      <c r="T62" s="304"/>
      <c r="U62" s="318"/>
      <c r="V62" s="381">
        <f>+E62</f>
        <v>0</v>
      </c>
      <c r="W62" s="33" t="e">
        <f t="shared" ref="W62:W68" si="30">+V62/$C$4</f>
        <v>#DIV/0!</v>
      </c>
      <c r="X62" s="353"/>
      <c r="Y62" s="354"/>
    </row>
    <row r="63" spans="3:27" outlineLevel="1" x14ac:dyDescent="0.3">
      <c r="C63" s="225" t="str">
        <f>'OpStatement List - Dropdowns'!L14</f>
        <v>Supplies</v>
      </c>
      <c r="E63" s="396" cm="1">
        <f t="array" ref="E63">+SUMPRODUCT('T-12 Inputs'!$D$105:$O$430*('T-12 Inputs'!$A$105:$A$430=C63))</f>
        <v>0</v>
      </c>
      <c r="F63" s="397" t="e">
        <f t="shared" si="26"/>
        <v>#DIV/0!</v>
      </c>
      <c r="G63" s="307"/>
      <c r="H63" s="398" cm="1">
        <f t="array" ref="H63">+SUMPRODUCT('T-12 Inputs'!$J$105:$O$430*('T-12 Inputs'!$A$105:$A$430=C63))*2</f>
        <v>0</v>
      </c>
      <c r="I63" s="398" t="e">
        <f t="shared" si="27"/>
        <v>#DIV/0!</v>
      </c>
      <c r="J63" s="352"/>
      <c r="K63" s="399" cm="1">
        <f t="array" ref="K63">+SUMPRODUCT('T-12 Inputs'!$M$105:$O$430*('T-12 Inputs'!$A$105:$A$430=C63))*4</f>
        <v>0</v>
      </c>
      <c r="L63" s="397" t="e">
        <f t="shared" si="28"/>
        <v>#DIV/0!</v>
      </c>
      <c r="M63" s="352"/>
      <c r="N63" s="398" cm="1">
        <f t="array" ref="N63">+SUMPRODUCT('T-12 Inputs'!$O$105:$O$430*('T-12 Inputs'!$A$105:$A$430=C63))*12</f>
        <v>0</v>
      </c>
      <c r="O63" s="398" t="e">
        <f t="shared" si="29"/>
        <v>#DIV/0!</v>
      </c>
      <c r="P63" s="348"/>
      <c r="Q63" s="33"/>
      <c r="R63" s="349"/>
      <c r="S63" s="348" t="e">
        <f>+R63/$C$4</f>
        <v>#DIV/0!</v>
      </c>
      <c r="T63" s="304"/>
      <c r="U63" s="318"/>
      <c r="V63" s="381">
        <f>+E63</f>
        <v>0</v>
      </c>
      <c r="W63" s="33" t="e">
        <f t="shared" si="30"/>
        <v>#DIV/0!</v>
      </c>
      <c r="X63" s="353"/>
      <c r="Y63" s="354"/>
    </row>
    <row r="64" spans="3:27" outlineLevel="1" x14ac:dyDescent="0.3">
      <c r="C64" s="225" t="str">
        <f>'OpStatement List - Dropdowns'!L15</f>
        <v>Memberships</v>
      </c>
      <c r="E64" s="396" cm="1">
        <f t="array" ref="E64">+SUMPRODUCT('T-12 Inputs'!$D$105:$O$430*('T-12 Inputs'!$A$105:$A$430=C64))</f>
        <v>0</v>
      </c>
      <c r="F64" s="397" t="e">
        <f t="shared" si="26"/>
        <v>#DIV/0!</v>
      </c>
      <c r="G64" s="307"/>
      <c r="H64" s="398" cm="1">
        <f t="array" ref="H64">+SUMPRODUCT('T-12 Inputs'!$J$105:$O$430*('T-12 Inputs'!$A$105:$A$430=C64))*2</f>
        <v>0</v>
      </c>
      <c r="I64" s="398" t="e">
        <f t="shared" si="27"/>
        <v>#DIV/0!</v>
      </c>
      <c r="J64" s="352"/>
      <c r="K64" s="399" cm="1">
        <f t="array" ref="K64">+SUMPRODUCT('T-12 Inputs'!$M$105:$O$430*('T-12 Inputs'!$A$105:$A$430=C64))*4</f>
        <v>0</v>
      </c>
      <c r="L64" s="397" t="e">
        <f t="shared" si="28"/>
        <v>#DIV/0!</v>
      </c>
      <c r="M64" s="352"/>
      <c r="N64" s="398" cm="1">
        <f t="array" ref="N64">+SUMPRODUCT('T-12 Inputs'!$O$105:$O$430*('T-12 Inputs'!$A$105:$A$430=C64))*12</f>
        <v>0</v>
      </c>
      <c r="O64" s="398" t="e">
        <f t="shared" si="29"/>
        <v>#DIV/0!</v>
      </c>
      <c r="P64" s="348"/>
      <c r="Q64" s="33"/>
      <c r="R64" s="349"/>
      <c r="S64" s="348" t="e">
        <f t="shared" ref="S64:S65" si="31">+R64/$C$4</f>
        <v>#DIV/0!</v>
      </c>
      <c r="T64" s="304"/>
      <c r="U64" s="318"/>
      <c r="V64" s="381">
        <f t="shared" ref="V64:V70" si="32">+E64</f>
        <v>0</v>
      </c>
      <c r="W64" s="33" t="e">
        <f t="shared" si="30"/>
        <v>#DIV/0!</v>
      </c>
      <c r="X64" s="353"/>
      <c r="Y64" s="354"/>
    </row>
    <row r="65" spans="3:27" outlineLevel="1" x14ac:dyDescent="0.3">
      <c r="C65" s="225" t="str">
        <f>'OpStatement List - Dropdowns'!L16</f>
        <v>Telephone</v>
      </c>
      <c r="E65" s="396" cm="1">
        <f t="array" ref="E65">+SUMPRODUCT('T-12 Inputs'!$D$105:$O$430*('T-12 Inputs'!$A$105:$A$430=C65))</f>
        <v>0</v>
      </c>
      <c r="F65" s="397" t="e">
        <f t="shared" si="26"/>
        <v>#DIV/0!</v>
      </c>
      <c r="G65" s="307"/>
      <c r="H65" s="398" cm="1">
        <f t="array" ref="H65">+SUMPRODUCT('T-12 Inputs'!$J$105:$O$430*('T-12 Inputs'!$A$105:$A$430=C65))*2</f>
        <v>0</v>
      </c>
      <c r="I65" s="398" t="e">
        <f t="shared" si="27"/>
        <v>#DIV/0!</v>
      </c>
      <c r="J65" s="352"/>
      <c r="K65" s="399" cm="1">
        <f t="array" ref="K65">+SUMPRODUCT('T-12 Inputs'!$M$105:$O$430*('T-12 Inputs'!$A$105:$A$430=C65))*4</f>
        <v>0</v>
      </c>
      <c r="L65" s="397" t="e">
        <f t="shared" si="28"/>
        <v>#DIV/0!</v>
      </c>
      <c r="M65" s="352"/>
      <c r="N65" s="398" cm="1">
        <f t="array" ref="N65">+SUMPRODUCT('T-12 Inputs'!$O$105:$O$430*('T-12 Inputs'!$A$105:$A$430=C65))*12</f>
        <v>0</v>
      </c>
      <c r="O65" s="398" t="e">
        <f t="shared" si="29"/>
        <v>#DIV/0!</v>
      </c>
      <c r="P65" s="348"/>
      <c r="Q65" s="33"/>
      <c r="R65" s="349"/>
      <c r="S65" s="348" t="e">
        <f t="shared" si="31"/>
        <v>#DIV/0!</v>
      </c>
      <c r="T65" s="304"/>
      <c r="U65" s="318"/>
      <c r="V65" s="381">
        <f t="shared" si="32"/>
        <v>0</v>
      </c>
      <c r="W65" s="33" t="e">
        <f t="shared" si="30"/>
        <v>#DIV/0!</v>
      </c>
      <c r="X65" s="353"/>
      <c r="Y65" s="354"/>
    </row>
    <row r="66" spans="3:27" outlineLevel="1" x14ac:dyDescent="0.3">
      <c r="C66" s="225" t="s">
        <v>331</v>
      </c>
      <c r="E66" s="396" cm="1">
        <f t="array" ref="E66">+SUMPRODUCT('T-12 Inputs'!$D$105:$O$430*('T-12 Inputs'!$A$105:$A$430=C66))</f>
        <v>0</v>
      </c>
      <c r="F66" s="397" t="e">
        <f t="shared" si="26"/>
        <v>#DIV/0!</v>
      </c>
      <c r="G66" s="307"/>
      <c r="H66" s="398" cm="1">
        <f t="array" ref="H66">+SUMPRODUCT('T-12 Inputs'!$J$105:$O$430*('T-12 Inputs'!$A$105:$A$430=C66))*2</f>
        <v>0</v>
      </c>
      <c r="I66" s="398" t="e">
        <f t="shared" si="27"/>
        <v>#DIV/0!</v>
      </c>
      <c r="J66" s="352"/>
      <c r="K66" s="399" cm="1">
        <f t="array" ref="K66">+SUMPRODUCT('T-12 Inputs'!$M$105:$O$430*('T-12 Inputs'!$A$105:$A$430=C66))*4</f>
        <v>0</v>
      </c>
      <c r="L66" s="397" t="e">
        <f t="shared" si="28"/>
        <v>#DIV/0!</v>
      </c>
      <c r="M66" s="352"/>
      <c r="N66" s="398" cm="1">
        <f t="array" ref="N66">+SUMPRODUCT('T-12 Inputs'!$O$105:$O$430*('T-12 Inputs'!$A$105:$A$430=C66))*12</f>
        <v>0</v>
      </c>
      <c r="O66" s="398" t="e">
        <f t="shared" si="29"/>
        <v>#DIV/0!</v>
      </c>
      <c r="P66" s="348"/>
      <c r="Q66" s="33"/>
      <c r="R66" s="349"/>
      <c r="S66" s="348"/>
      <c r="T66" s="304"/>
      <c r="U66" s="318"/>
      <c r="V66" s="381">
        <f t="shared" si="32"/>
        <v>0</v>
      </c>
      <c r="W66" s="33" t="e">
        <f t="shared" si="30"/>
        <v>#DIV/0!</v>
      </c>
      <c r="X66" s="353"/>
      <c r="Y66" s="354"/>
    </row>
    <row r="67" spans="3:27" outlineLevel="1" x14ac:dyDescent="0.3">
      <c r="C67" s="225" t="s">
        <v>332</v>
      </c>
      <c r="E67" s="396" cm="1">
        <f t="array" ref="E67">+SUMPRODUCT('T-12 Inputs'!$D$105:$O$430*('T-12 Inputs'!$A$105:$A$430=C67))</f>
        <v>0</v>
      </c>
      <c r="F67" s="397" t="e">
        <f t="shared" si="26"/>
        <v>#DIV/0!</v>
      </c>
      <c r="G67" s="307"/>
      <c r="H67" s="398" cm="1">
        <f t="array" ref="H67">+SUMPRODUCT('T-12 Inputs'!$J$105:$O$430*('T-12 Inputs'!$A$105:$A$430=C67))*2</f>
        <v>0</v>
      </c>
      <c r="I67" s="398" t="e">
        <f t="shared" si="27"/>
        <v>#DIV/0!</v>
      </c>
      <c r="J67" s="352"/>
      <c r="K67" s="399" cm="1">
        <f t="array" ref="K67">+SUMPRODUCT('T-12 Inputs'!$M$105:$O$430*('T-12 Inputs'!$A$105:$A$430=C67))*4</f>
        <v>0</v>
      </c>
      <c r="L67" s="397" t="e">
        <f t="shared" si="28"/>
        <v>#DIV/0!</v>
      </c>
      <c r="M67" s="352"/>
      <c r="N67" s="398" cm="1">
        <f t="array" ref="N67">+SUMPRODUCT('T-12 Inputs'!$O$105:$O$430*('T-12 Inputs'!$A$105:$A$430=C67))*12</f>
        <v>0</v>
      </c>
      <c r="O67" s="398" t="e">
        <f t="shared" si="29"/>
        <v>#DIV/0!</v>
      </c>
      <c r="P67" s="348"/>
      <c r="Q67" s="33"/>
      <c r="R67" s="349"/>
      <c r="S67" s="348"/>
      <c r="T67" s="304"/>
      <c r="U67" s="318"/>
      <c r="V67" s="381">
        <f t="shared" si="32"/>
        <v>0</v>
      </c>
      <c r="W67" s="33" t="e">
        <f t="shared" si="30"/>
        <v>#DIV/0!</v>
      </c>
      <c r="X67" s="353"/>
      <c r="Y67" s="354"/>
    </row>
    <row r="68" spans="3:27" outlineLevel="1" x14ac:dyDescent="0.3">
      <c r="C68" s="225" t="s">
        <v>333</v>
      </c>
      <c r="E68" s="396" cm="1">
        <f t="array" ref="E68">+SUMPRODUCT('T-12 Inputs'!$D$105:$O$430*('T-12 Inputs'!$A$105:$A$430=C68))</f>
        <v>0</v>
      </c>
      <c r="F68" s="397" t="e">
        <f t="shared" si="26"/>
        <v>#DIV/0!</v>
      </c>
      <c r="G68" s="307"/>
      <c r="H68" s="398" cm="1">
        <f t="array" ref="H68">+SUMPRODUCT('T-12 Inputs'!$J$105:$O$430*('T-12 Inputs'!$A$105:$A$430=C68))*2</f>
        <v>0</v>
      </c>
      <c r="I68" s="398" t="e">
        <f t="shared" si="27"/>
        <v>#DIV/0!</v>
      </c>
      <c r="J68" s="352"/>
      <c r="K68" s="399" cm="1">
        <f t="array" ref="K68">+SUMPRODUCT('T-12 Inputs'!$M$105:$O$430*('T-12 Inputs'!$A$105:$A$430=C68))*4</f>
        <v>0</v>
      </c>
      <c r="L68" s="397" t="e">
        <f t="shared" si="28"/>
        <v>#DIV/0!</v>
      </c>
      <c r="M68" s="352"/>
      <c r="N68" s="398" cm="1">
        <f t="array" ref="N68">+SUMPRODUCT('T-12 Inputs'!$O$105:$O$430*('T-12 Inputs'!$A$105:$A$430=C68))*12</f>
        <v>0</v>
      </c>
      <c r="O68" s="398" t="e">
        <f t="shared" si="29"/>
        <v>#DIV/0!</v>
      </c>
      <c r="P68" s="348"/>
      <c r="Q68" s="33"/>
      <c r="R68" s="349"/>
      <c r="S68" s="348"/>
      <c r="T68" s="304"/>
      <c r="U68" s="318"/>
      <c r="V68" s="381">
        <f t="shared" si="32"/>
        <v>0</v>
      </c>
      <c r="W68" s="33" t="e">
        <f t="shared" si="30"/>
        <v>#DIV/0!</v>
      </c>
      <c r="X68" s="353"/>
      <c r="Y68" s="354"/>
    </row>
    <row r="69" spans="3:27" outlineLevel="1" x14ac:dyDescent="0.3">
      <c r="C69" s="225" t="s">
        <v>512</v>
      </c>
      <c r="E69" s="396" cm="1">
        <f t="array" ref="E69">+SUMPRODUCT('T-12 Inputs'!$D$105:$O$430*('T-12 Inputs'!$A$105:$A$430=C69))</f>
        <v>0</v>
      </c>
      <c r="F69" s="397" t="e">
        <f>+E69/$C$4</f>
        <v>#DIV/0!</v>
      </c>
      <c r="G69" s="307"/>
      <c r="H69" s="398" cm="1">
        <f t="array" ref="H69">+SUMPRODUCT('T-12 Inputs'!$J$105:$O$430*('T-12 Inputs'!$A$105:$A$430=C69))*2</f>
        <v>0</v>
      </c>
      <c r="I69" s="398" t="e">
        <f>+H69/$C$4</f>
        <v>#DIV/0!</v>
      </c>
      <c r="J69" s="352"/>
      <c r="K69" s="399" cm="1">
        <f t="array" ref="K69">+SUMPRODUCT('T-12 Inputs'!$M$105:$O$430*('T-12 Inputs'!$A$105:$A$430=C69))*4</f>
        <v>0</v>
      </c>
      <c r="L69" s="397" t="e">
        <f>+K69/$C$4</f>
        <v>#DIV/0!</v>
      </c>
      <c r="M69" s="352"/>
      <c r="N69" s="398" cm="1">
        <f t="array" ref="N69">+SUMPRODUCT('T-12 Inputs'!$O$105:$O$430*('T-12 Inputs'!$A$105:$A$430=C69))*12</f>
        <v>0</v>
      </c>
      <c r="O69" s="398" t="e">
        <f>+N69/$C$4</f>
        <v>#DIV/0!</v>
      </c>
      <c r="P69" s="348"/>
      <c r="Q69" s="33"/>
      <c r="R69" s="349"/>
      <c r="S69" s="348"/>
      <c r="T69" s="304"/>
      <c r="U69" s="318"/>
      <c r="V69" s="381">
        <f t="shared" si="32"/>
        <v>0</v>
      </c>
      <c r="W69" s="346" t="e">
        <f>+V69/$C$4</f>
        <v>#DIV/0!</v>
      </c>
      <c r="X69" s="353"/>
      <c r="Y69" s="354"/>
    </row>
    <row r="70" spans="3:27" outlineLevel="1" x14ac:dyDescent="0.3">
      <c r="C70" s="225" t="s">
        <v>183</v>
      </c>
      <c r="E70" s="396" cm="1">
        <f t="array" ref="E70">+SUMPRODUCT('T-12 Inputs'!$D$105:$O$430*('T-12 Inputs'!$A$105:$A$430=C70))</f>
        <v>0</v>
      </c>
      <c r="F70" s="397" t="e">
        <f t="shared" ref="F70:F71" si="33">+E70/$C$4</f>
        <v>#DIV/0!</v>
      </c>
      <c r="G70" s="307"/>
      <c r="H70" s="398" cm="1">
        <f t="array" ref="H70">+SUMPRODUCT('T-12 Inputs'!$J$105:$O$430*('T-12 Inputs'!$A$105:$A$430=C70))*2</f>
        <v>0</v>
      </c>
      <c r="I70" s="398" t="e">
        <f t="shared" ref="I70:I71" si="34">+H70/$C$4</f>
        <v>#DIV/0!</v>
      </c>
      <c r="J70" s="352"/>
      <c r="K70" s="399" cm="1">
        <f t="array" ref="K70">+SUMPRODUCT('T-12 Inputs'!$M$105:$O$430*('T-12 Inputs'!$A$105:$A$430=C70))*4</f>
        <v>0</v>
      </c>
      <c r="L70" s="397" t="e">
        <f t="shared" ref="L70:L71" si="35">+K70/$C$4</f>
        <v>#DIV/0!</v>
      </c>
      <c r="M70" s="352"/>
      <c r="N70" s="398" cm="1">
        <f t="array" ref="N70">+SUMPRODUCT('T-12 Inputs'!$O$105:$O$430*('T-12 Inputs'!$A$105:$A$430=C70))*12</f>
        <v>0</v>
      </c>
      <c r="O70" s="398" t="e">
        <f t="shared" ref="O70:O71" si="36">+N70/$C$4</f>
        <v>#DIV/0!</v>
      </c>
      <c r="P70" s="360"/>
      <c r="Q70" s="33"/>
      <c r="R70" s="349"/>
      <c r="S70" s="348" t="e">
        <f>+R70/$C$4</f>
        <v>#DIV/0!</v>
      </c>
      <c r="T70" s="304"/>
      <c r="U70" s="318"/>
      <c r="V70" s="381">
        <f t="shared" si="32"/>
        <v>0</v>
      </c>
      <c r="W70" s="33" t="e">
        <f t="shared" ref="W70" si="37">+V70/$C$4</f>
        <v>#DIV/0!</v>
      </c>
      <c r="X70" s="353"/>
      <c r="Y70" s="354"/>
    </row>
    <row r="71" spans="3:27" s="162" customFormat="1" x14ac:dyDescent="0.3">
      <c r="C71" s="203" t="s">
        <v>185</v>
      </c>
      <c r="D71" s="204"/>
      <c r="E71" s="371">
        <f>SUM(E62:E70)</f>
        <v>0</v>
      </c>
      <c r="F71" s="372" t="e">
        <f t="shared" si="33"/>
        <v>#DIV/0!</v>
      </c>
      <c r="G71" s="329"/>
      <c r="H71" s="246">
        <f>SUM(H62:H70)</f>
        <v>0</v>
      </c>
      <c r="I71" s="246" t="e">
        <f t="shared" si="34"/>
        <v>#DIV/0!</v>
      </c>
      <c r="J71" s="368"/>
      <c r="K71" s="373">
        <f>SUM(K62:K70)</f>
        <v>0</v>
      </c>
      <c r="L71" s="372" t="e">
        <f t="shared" si="35"/>
        <v>#DIV/0!</v>
      </c>
      <c r="M71" s="368"/>
      <c r="N71" s="246">
        <f>SUM(N62:N70)</f>
        <v>0</v>
      </c>
      <c r="O71" s="246" t="e">
        <f t="shared" si="36"/>
        <v>#DIV/0!</v>
      </c>
      <c r="P71" s="374"/>
      <c r="Q71" s="332"/>
      <c r="R71" s="366">
        <f>SUM(R62:R70)</f>
        <v>0</v>
      </c>
      <c r="S71" s="374" t="e">
        <f t="shared" ref="S71" si="38">+R71/$C$4</f>
        <v>#DIV/0!</v>
      </c>
      <c r="T71" s="400"/>
      <c r="U71" s="401"/>
      <c r="V71" s="150">
        <f>SUM(V62:V70)</f>
        <v>0</v>
      </c>
      <c r="W71" s="402" t="e">
        <f>+V71/$C$4</f>
        <v>#DIV/0!</v>
      </c>
      <c r="X71" s="384"/>
      <c r="Y71" s="383"/>
    </row>
    <row r="72" spans="3:27" ht="9.6" customHeight="1" x14ac:dyDescent="0.3">
      <c r="C72" s="225"/>
      <c r="E72" s="318"/>
      <c r="F72" s="346"/>
      <c r="G72" s="307"/>
      <c r="H72" s="33"/>
      <c r="I72" s="33"/>
      <c r="J72" s="352"/>
      <c r="K72" s="347"/>
      <c r="L72" s="346"/>
      <c r="M72" s="352"/>
      <c r="N72" s="33"/>
      <c r="O72" s="33"/>
      <c r="P72" s="403"/>
      <c r="Q72" s="33"/>
      <c r="R72" s="369"/>
      <c r="S72" s="348"/>
      <c r="T72" s="304"/>
      <c r="U72" s="318"/>
      <c r="V72" s="307"/>
      <c r="W72" s="404"/>
      <c r="X72" s="225"/>
      <c r="Y72" s="317"/>
    </row>
    <row r="73" spans="3:27" outlineLevel="1" x14ac:dyDescent="0.3">
      <c r="C73" s="225" t="s">
        <v>167</v>
      </c>
      <c r="E73" s="396" cm="1">
        <f t="array" ref="E73">+SUMPRODUCT('T-12 Inputs'!$D$105:$O$430*('T-12 Inputs'!$A$105:$A$430=C73))</f>
        <v>0</v>
      </c>
      <c r="F73" s="397" t="e">
        <f>+E73/$C$4</f>
        <v>#DIV/0!</v>
      </c>
      <c r="G73" s="307"/>
      <c r="H73" s="398" cm="1">
        <f t="array" ref="H73">+SUMPRODUCT('T-12 Inputs'!$J$105:$O$430*('T-12 Inputs'!$A$105:$A$430=C73))*2</f>
        <v>0</v>
      </c>
      <c r="I73" s="398" t="e">
        <f>+H73/$C$4</f>
        <v>#DIV/0!</v>
      </c>
      <c r="J73" s="352"/>
      <c r="K73" s="399" cm="1">
        <f t="array" ref="K73">+SUMPRODUCT('T-12 Inputs'!$M$105:$O$430*('T-12 Inputs'!$A$105:$A$430=C73))*4</f>
        <v>0</v>
      </c>
      <c r="L73" s="397" t="e">
        <f>+K73/$C$4</f>
        <v>#DIV/0!</v>
      </c>
      <c r="M73" s="352"/>
      <c r="N73" s="398" cm="1">
        <f t="array" ref="N73">+SUMPRODUCT('T-12 Inputs'!$O$105:$O$430*('T-12 Inputs'!$A$105:$A$430=C73))*12</f>
        <v>0</v>
      </c>
      <c r="O73" s="398" t="e">
        <f>+N73/$C$4</f>
        <v>#DIV/0!</v>
      </c>
      <c r="P73" s="348"/>
      <c r="Q73" s="33"/>
      <c r="R73" s="349"/>
      <c r="S73" s="348" t="e">
        <f>+R73/$C$4</f>
        <v>#DIV/0!</v>
      </c>
      <c r="T73" s="304"/>
      <c r="U73" s="318"/>
      <c r="V73" s="381">
        <f>SUMIF('Marketing Stack'!$B$6:$B$41,'Proforma (Annual)'!C73,'Marketing Stack'!$Q$6:$Q$41)</f>
        <v>6000</v>
      </c>
      <c r="W73" s="33" t="e">
        <f>+V73/$C$4</f>
        <v>#DIV/0!</v>
      </c>
      <c r="X73" s="353"/>
      <c r="Y73" s="354" t="s">
        <v>488</v>
      </c>
    </row>
    <row r="74" spans="3:27" outlineLevel="1" x14ac:dyDescent="0.3">
      <c r="C74" s="225" t="s">
        <v>166</v>
      </c>
      <c r="E74" s="396" cm="1">
        <f t="array" ref="E74">+SUMPRODUCT('T-12 Inputs'!$D$105:$O$430*('T-12 Inputs'!$A$105:$A$430=C74))</f>
        <v>0</v>
      </c>
      <c r="F74" s="397" t="e">
        <f>+E74/$C$4</f>
        <v>#DIV/0!</v>
      </c>
      <c r="G74" s="307"/>
      <c r="H74" s="398" cm="1">
        <f t="array" ref="H74">+SUMPRODUCT('T-12 Inputs'!$J$105:$O$430*('T-12 Inputs'!$A$105:$A$430=C74))*2</f>
        <v>0</v>
      </c>
      <c r="I74" s="398" t="e">
        <f>+H74/$C$4</f>
        <v>#DIV/0!</v>
      </c>
      <c r="J74" s="352"/>
      <c r="K74" s="399" cm="1">
        <f t="array" ref="K74">+SUMPRODUCT('T-12 Inputs'!$M$105:$O$430*('T-12 Inputs'!$A$105:$A$430=C74))*4</f>
        <v>0</v>
      </c>
      <c r="L74" s="397" t="e">
        <f>+K74/$C$4</f>
        <v>#DIV/0!</v>
      </c>
      <c r="M74" s="352"/>
      <c r="N74" s="398" cm="1">
        <f t="array" ref="N74">+SUMPRODUCT('T-12 Inputs'!$O$105:$O$430*('T-12 Inputs'!$A$105:$A$430=C74))*12</f>
        <v>0</v>
      </c>
      <c r="O74" s="398" t="e">
        <f>+N74/$C$4</f>
        <v>#DIV/0!</v>
      </c>
      <c r="P74" s="348"/>
      <c r="Q74" s="33"/>
      <c r="R74" s="349"/>
      <c r="S74" s="348" t="e">
        <f t="shared" ref="S74:S75" si="39">+R74/$C$4</f>
        <v>#DIV/0!</v>
      </c>
      <c r="T74" s="304"/>
      <c r="U74" s="318"/>
      <c r="V74" s="381">
        <f>SUMIF('Marketing Stack'!$B$6:$B$41,'Proforma (Annual)'!C74,'Marketing Stack'!$Q$6:$Q$41)</f>
        <v>70632</v>
      </c>
      <c r="W74" s="33" t="e">
        <f>+V74/$C$4</f>
        <v>#DIV/0!</v>
      </c>
      <c r="X74" s="353"/>
      <c r="Y74" s="354" t="s">
        <v>488</v>
      </c>
    </row>
    <row r="75" spans="3:27" outlineLevel="1" x14ac:dyDescent="0.3">
      <c r="C75" s="225" t="s">
        <v>169</v>
      </c>
      <c r="E75" s="396" cm="1">
        <f t="array" ref="E75">+SUMPRODUCT('T-12 Inputs'!$D$105:$O$430*('T-12 Inputs'!$A$105:$A$430=C75))</f>
        <v>0</v>
      </c>
      <c r="F75" s="397" t="e">
        <f>+E75/$C$4</f>
        <v>#DIV/0!</v>
      </c>
      <c r="G75" s="307"/>
      <c r="H75" s="398" cm="1">
        <f t="array" ref="H75">+SUMPRODUCT('T-12 Inputs'!$J$105:$O$430*('T-12 Inputs'!$A$105:$A$430=C75))*2</f>
        <v>0</v>
      </c>
      <c r="I75" s="398" t="e">
        <f>+H75/$C$4</f>
        <v>#DIV/0!</v>
      </c>
      <c r="J75" s="352"/>
      <c r="K75" s="399" cm="1">
        <f t="array" ref="K75">+SUMPRODUCT('T-12 Inputs'!$M$105:$O$430*('T-12 Inputs'!$A$105:$A$430=C75))*4</f>
        <v>0</v>
      </c>
      <c r="L75" s="397" t="e">
        <f>+K75/$C$4</f>
        <v>#DIV/0!</v>
      </c>
      <c r="M75" s="352"/>
      <c r="N75" s="398" cm="1">
        <f t="array" ref="N75">+SUMPRODUCT('T-12 Inputs'!$O$105:$O$430*('T-12 Inputs'!$A$105:$A$430=C75))*12</f>
        <v>0</v>
      </c>
      <c r="O75" s="398" t="e">
        <f>+N75/$C$4</f>
        <v>#DIV/0!</v>
      </c>
      <c r="P75" s="348"/>
      <c r="Q75" s="33"/>
      <c r="R75" s="349"/>
      <c r="S75" s="348" t="e">
        <f t="shared" si="39"/>
        <v>#DIV/0!</v>
      </c>
      <c r="T75" s="304"/>
      <c r="U75" s="318"/>
      <c r="V75" s="381">
        <f>SUMIF('Marketing Stack'!$B$6:$B$41,'Proforma (Annual)'!C75,'Marketing Stack'!$Q$6:$Q$41)</f>
        <v>0</v>
      </c>
      <c r="W75" s="33" t="e">
        <f>+V75/$C$4</f>
        <v>#DIV/0!</v>
      </c>
      <c r="X75" s="353"/>
      <c r="Y75" s="354" t="s">
        <v>488</v>
      </c>
    </row>
    <row r="76" spans="3:27" outlineLevel="1" x14ac:dyDescent="0.3">
      <c r="C76" s="225" t="s">
        <v>168</v>
      </c>
      <c r="E76" s="396" cm="1">
        <f t="array" ref="E76">+SUMPRODUCT('T-12 Inputs'!$D$105:$O$430*('T-12 Inputs'!$A$105:$A$430=C76))</f>
        <v>0</v>
      </c>
      <c r="F76" s="397" t="e">
        <f>+E76/$C$4</f>
        <v>#DIV/0!</v>
      </c>
      <c r="G76" s="307"/>
      <c r="H76" s="398" cm="1">
        <f t="array" ref="H76">+SUMPRODUCT('T-12 Inputs'!$J$105:$O$430*('T-12 Inputs'!$A$105:$A$430=C76))*2</f>
        <v>0</v>
      </c>
      <c r="I76" s="398" t="e">
        <f>+H76/$C$4</f>
        <v>#DIV/0!</v>
      </c>
      <c r="J76" s="352"/>
      <c r="K76" s="399" cm="1">
        <f t="array" ref="K76">+SUMPRODUCT('T-12 Inputs'!$M$105:$O$430*('T-12 Inputs'!$A$105:$A$430=C76))*4</f>
        <v>0</v>
      </c>
      <c r="L76" s="397" t="e">
        <f>+K76/$C$4</f>
        <v>#DIV/0!</v>
      </c>
      <c r="M76" s="352"/>
      <c r="N76" s="398" cm="1">
        <f t="array" ref="N76">+SUMPRODUCT('T-12 Inputs'!$O$105:$O$430*('T-12 Inputs'!$A$105:$A$430=C76))*12</f>
        <v>0</v>
      </c>
      <c r="O76" s="398" t="e">
        <f>+N76/$C$4</f>
        <v>#DIV/0!</v>
      </c>
      <c r="P76" s="360"/>
      <c r="Q76" s="33"/>
      <c r="R76" s="349"/>
      <c r="S76" s="348" t="e">
        <f>+R76/$C$4</f>
        <v>#DIV/0!</v>
      </c>
      <c r="T76" s="304"/>
      <c r="U76" s="318"/>
      <c r="V76" s="381">
        <f>SUMIF('Marketing Stack'!$B$6:$B$41,'Proforma (Annual)'!C76,'Marketing Stack'!$Q$6:$Q$41)</f>
        <v>15000</v>
      </c>
      <c r="W76" s="33" t="e">
        <f>+V76/$C$4</f>
        <v>#DIV/0!</v>
      </c>
      <c r="X76" s="353"/>
      <c r="Y76" s="354"/>
    </row>
    <row r="77" spans="3:27" x14ac:dyDescent="0.3">
      <c r="C77" s="203" t="s">
        <v>186</v>
      </c>
      <c r="D77" s="204"/>
      <c r="E77" s="371">
        <f>SUM(E73:E76)</f>
        <v>0</v>
      </c>
      <c r="F77" s="372" t="e">
        <f>+E77/$C$4</f>
        <v>#DIV/0!</v>
      </c>
      <c r="G77" s="329"/>
      <c r="H77" s="246">
        <f>SUM(H73:H76)</f>
        <v>0</v>
      </c>
      <c r="I77" s="246" t="e">
        <f>+H77/$C$4</f>
        <v>#DIV/0!</v>
      </c>
      <c r="J77" s="368"/>
      <c r="K77" s="373">
        <f>SUM(K73:K76)</f>
        <v>0</v>
      </c>
      <c r="L77" s="372" t="e">
        <f>+K77/$C$4</f>
        <v>#DIV/0!</v>
      </c>
      <c r="M77" s="368"/>
      <c r="N77" s="246">
        <f>SUM(N73:N76)</f>
        <v>0</v>
      </c>
      <c r="O77" s="246" t="e">
        <f>+N77/$C$4</f>
        <v>#DIV/0!</v>
      </c>
      <c r="P77" s="374"/>
      <c r="Q77" s="332"/>
      <c r="R77" s="366">
        <f>SUM(R73:R76)</f>
        <v>0</v>
      </c>
      <c r="S77" s="374" t="e">
        <f>+R77/$C$4</f>
        <v>#DIV/0!</v>
      </c>
      <c r="T77" s="304"/>
      <c r="U77" s="376"/>
      <c r="V77" s="150">
        <f>SUM(V73:V76)</f>
        <v>91632</v>
      </c>
      <c r="W77" s="402" t="e">
        <f>+V77/C4</f>
        <v>#DIV/0!</v>
      </c>
      <c r="X77" s="382"/>
      <c r="Y77" s="383"/>
    </row>
    <row r="78" spans="3:27" ht="8.4" customHeight="1" x14ac:dyDescent="0.3">
      <c r="C78" s="225"/>
      <c r="E78" s="318"/>
      <c r="F78" s="346"/>
      <c r="G78" s="307"/>
      <c r="H78" s="33"/>
      <c r="I78" s="33"/>
      <c r="J78" s="352"/>
      <c r="K78" s="347"/>
      <c r="L78" s="346"/>
      <c r="M78" s="352"/>
      <c r="N78" s="33"/>
      <c r="O78" s="33"/>
      <c r="P78" s="403"/>
      <c r="Q78" s="33"/>
      <c r="R78" s="369"/>
      <c r="S78" s="348"/>
      <c r="T78" s="304"/>
      <c r="U78" s="318"/>
      <c r="V78" s="307"/>
      <c r="W78" s="404"/>
      <c r="X78" s="225"/>
      <c r="Y78" s="317"/>
    </row>
    <row r="79" spans="3:27" outlineLevel="1" x14ac:dyDescent="0.3">
      <c r="C79" s="225" t="s">
        <v>170</v>
      </c>
      <c r="E79" s="396" cm="1">
        <f t="array" ref="E79">+SUMPRODUCT('T-12 Inputs'!$D$105:$O$430*('T-12 Inputs'!$A$105:$A$430=C79))</f>
        <v>0</v>
      </c>
      <c r="F79" s="397" t="e">
        <f>+E79/$C$4</f>
        <v>#DIV/0!</v>
      </c>
      <c r="G79" s="307"/>
      <c r="H79" s="398" cm="1">
        <f t="array" ref="H79">+SUMPRODUCT('T-12 Inputs'!$J$105:$O$430*('T-12 Inputs'!$A$105:$A$430=C79))*2</f>
        <v>0</v>
      </c>
      <c r="I79" s="398" t="e">
        <f>+H79/$C$4</f>
        <v>#DIV/0!</v>
      </c>
      <c r="J79" s="352"/>
      <c r="K79" s="399" cm="1">
        <f t="array" ref="K79">+SUMPRODUCT('T-12 Inputs'!$M$105:$O$430*('T-12 Inputs'!$A$105:$A$430=C79))*4</f>
        <v>0</v>
      </c>
      <c r="L79" s="397" t="e">
        <f>+K79/$C$4</f>
        <v>#DIV/0!</v>
      </c>
      <c r="M79" s="352"/>
      <c r="N79" s="398" cm="1">
        <f t="array" ref="N79">+SUMPRODUCT('T-12 Inputs'!$O$105:$O$430*('T-12 Inputs'!$A$105:$A$430=C79))*12</f>
        <v>0</v>
      </c>
      <c r="O79" s="398" t="e">
        <f>+N79/$C$4</f>
        <v>#DIV/0!</v>
      </c>
      <c r="P79" s="348"/>
      <c r="Q79" s="33"/>
      <c r="R79" s="349"/>
      <c r="S79" s="348"/>
      <c r="T79" s="304"/>
      <c r="U79" s="318"/>
      <c r="V79" s="381">
        <f>+E79</f>
        <v>0</v>
      </c>
      <c r="W79" s="33" t="e">
        <f>+V79/$C$4</f>
        <v>#DIV/0!</v>
      </c>
      <c r="X79" s="353"/>
      <c r="Y79" s="354"/>
      <c r="AA79" s="33"/>
    </row>
    <row r="80" spans="3:27" outlineLevel="1" x14ac:dyDescent="0.3">
      <c r="C80" s="225" t="s">
        <v>238</v>
      </c>
      <c r="E80" s="396" cm="1">
        <f t="array" ref="E80">+SUMPRODUCT('T-12 Inputs'!$D$105:$O$430*('T-12 Inputs'!$A$105:$A$430=C80))</f>
        <v>0</v>
      </c>
      <c r="F80" s="397" t="e">
        <f>+E80/$C$4</f>
        <v>#DIV/0!</v>
      </c>
      <c r="G80" s="307"/>
      <c r="H80" s="398" cm="1">
        <f t="array" ref="H80">+SUMPRODUCT('T-12 Inputs'!$J$105:$O$430*('T-12 Inputs'!$A$105:$A$430=C80))*2</f>
        <v>0</v>
      </c>
      <c r="I80" s="398" t="e">
        <f>+H80/$C$4</f>
        <v>#DIV/0!</v>
      </c>
      <c r="J80" s="352"/>
      <c r="K80" s="399" cm="1">
        <f t="array" ref="K80">+SUMPRODUCT('T-12 Inputs'!$M$105:$O$430*('T-12 Inputs'!$A$105:$A$430=C80))*4</f>
        <v>0</v>
      </c>
      <c r="L80" s="397" t="e">
        <f>+K80/$C$4</f>
        <v>#DIV/0!</v>
      </c>
      <c r="M80" s="352"/>
      <c r="N80" s="398" cm="1">
        <f t="array" ref="N80">+SUMPRODUCT('T-12 Inputs'!$O$105:$O$430*('T-12 Inputs'!$A$105:$A$430=C80))*12</f>
        <v>0</v>
      </c>
      <c r="O80" s="398" t="e">
        <f>+N80/$C$4</f>
        <v>#DIV/0!</v>
      </c>
      <c r="P80" s="348"/>
      <c r="Q80" s="33"/>
      <c r="R80" s="349"/>
      <c r="S80" s="348"/>
      <c r="T80" s="304"/>
      <c r="U80" s="318"/>
      <c r="V80" s="381">
        <f t="shared" ref="V80:V87" si="40">+E80</f>
        <v>0</v>
      </c>
      <c r="W80" s="33" t="e">
        <f t="shared" ref="W80:W86" si="41">+V80/$C$4</f>
        <v>#DIV/0!</v>
      </c>
      <c r="X80" s="353"/>
      <c r="Y80" s="354"/>
      <c r="AA80" s="33"/>
    </row>
    <row r="81" spans="3:29" outlineLevel="1" x14ac:dyDescent="0.3">
      <c r="C81" s="225" t="s">
        <v>225</v>
      </c>
      <c r="E81" s="396" cm="1">
        <f t="array" ref="E81">+SUMPRODUCT('T-12 Inputs'!$D$105:$O$430*('T-12 Inputs'!$A$105:$A$430=C81))</f>
        <v>0</v>
      </c>
      <c r="F81" s="397" t="e">
        <f>+E81/$C$4</f>
        <v>#DIV/0!</v>
      </c>
      <c r="G81" s="307"/>
      <c r="H81" s="398" cm="1">
        <f t="array" ref="H81">+SUMPRODUCT('T-12 Inputs'!$J$105:$O$430*('T-12 Inputs'!$A$105:$A$430=C81))*2</f>
        <v>0</v>
      </c>
      <c r="I81" s="398" t="e">
        <f>+H81/$C$4</f>
        <v>#DIV/0!</v>
      </c>
      <c r="J81" s="352"/>
      <c r="K81" s="399" cm="1">
        <f t="array" ref="K81">+SUMPRODUCT('T-12 Inputs'!$M$105:$O$430*('T-12 Inputs'!$A$105:$A$430=C81))*4</f>
        <v>0</v>
      </c>
      <c r="L81" s="397" t="e">
        <f>+K81/$C$4</f>
        <v>#DIV/0!</v>
      </c>
      <c r="M81" s="352"/>
      <c r="N81" s="398" cm="1">
        <f t="array" ref="N81">+SUMPRODUCT('T-12 Inputs'!$O$105:$O$430*('T-12 Inputs'!$A$105:$A$430=C81))*12</f>
        <v>0</v>
      </c>
      <c r="O81" s="398" t="e">
        <f>+N81/$C$4</f>
        <v>#DIV/0!</v>
      </c>
      <c r="P81" s="348"/>
      <c r="Q81" s="33"/>
      <c r="R81" s="349"/>
      <c r="S81" s="348"/>
      <c r="T81" s="304"/>
      <c r="U81" s="318"/>
      <c r="V81" s="381">
        <f t="shared" si="40"/>
        <v>0</v>
      </c>
      <c r="W81" s="33" t="e">
        <f t="shared" si="41"/>
        <v>#DIV/0!</v>
      </c>
      <c r="X81" s="353"/>
      <c r="Y81" s="354"/>
      <c r="AA81" s="33"/>
    </row>
    <row r="82" spans="3:29" outlineLevel="1" x14ac:dyDescent="0.3">
      <c r="C82" s="225" t="s">
        <v>480</v>
      </c>
      <c r="E82" s="396" cm="1">
        <f t="array" ref="E82">+SUMPRODUCT('T-12 Inputs'!$D$105:$O$430*('T-12 Inputs'!$A$105:$A$430=C82))</f>
        <v>0</v>
      </c>
      <c r="F82" s="397" t="e">
        <f>+E82/$C$4</f>
        <v>#DIV/0!</v>
      </c>
      <c r="G82" s="307"/>
      <c r="H82" s="398" cm="1">
        <f t="array" ref="H82">+SUMPRODUCT('T-12 Inputs'!$J$105:$O$430*('T-12 Inputs'!$A$105:$A$430=C82))*2</f>
        <v>0</v>
      </c>
      <c r="I82" s="398" t="e">
        <f>+H82/$C$4</f>
        <v>#DIV/0!</v>
      </c>
      <c r="J82" s="352"/>
      <c r="K82" s="399" cm="1">
        <f t="array" ref="K82">+SUMPRODUCT('T-12 Inputs'!$M$105:$O$430*('T-12 Inputs'!$A$105:$A$430=C82))*4</f>
        <v>0</v>
      </c>
      <c r="L82" s="397" t="e">
        <f>+K82/$C$4</f>
        <v>#DIV/0!</v>
      </c>
      <c r="M82" s="352"/>
      <c r="N82" s="398" cm="1">
        <f t="array" ref="N82">+SUMPRODUCT('T-12 Inputs'!$O$105:$O$430*('T-12 Inputs'!$A$105:$A$430=C82))*12</f>
        <v>0</v>
      </c>
      <c r="O82" s="398" t="e">
        <f>+N82/$C$4</f>
        <v>#DIV/0!</v>
      </c>
      <c r="P82" s="348"/>
      <c r="Q82" s="33"/>
      <c r="R82" s="349"/>
      <c r="S82" s="348"/>
      <c r="T82" s="304"/>
      <c r="U82" s="318"/>
      <c r="V82" s="381">
        <f t="shared" si="40"/>
        <v>0</v>
      </c>
      <c r="W82" s="33" t="e">
        <f t="shared" si="41"/>
        <v>#DIV/0!</v>
      </c>
      <c r="X82" s="353"/>
      <c r="Y82" s="354"/>
      <c r="AA82" s="33"/>
    </row>
    <row r="83" spans="3:29" outlineLevel="1" x14ac:dyDescent="0.3">
      <c r="C83" s="225" t="s">
        <v>61</v>
      </c>
      <c r="E83" s="396" cm="1">
        <f t="array" ref="E83">+SUMPRODUCT('T-12 Inputs'!$D$105:$O$430*('T-12 Inputs'!$A$105:$A$430=C83))</f>
        <v>0</v>
      </c>
      <c r="F83" s="397" t="e">
        <f>+E83/$C$4</f>
        <v>#DIV/0!</v>
      </c>
      <c r="G83" s="307"/>
      <c r="H83" s="398" cm="1">
        <f t="array" ref="H83">+SUMPRODUCT('T-12 Inputs'!$J$105:$O$430*('T-12 Inputs'!$A$105:$A$430=C83))*2</f>
        <v>0</v>
      </c>
      <c r="I83" s="398" t="e">
        <f t="shared" ref="I83:I86" si="42">+H83/$C$4</f>
        <v>#DIV/0!</v>
      </c>
      <c r="J83" s="352"/>
      <c r="K83" s="399" cm="1">
        <f t="array" ref="K83">+SUMPRODUCT('T-12 Inputs'!$M$105:$O$430*('T-12 Inputs'!$A$105:$A$430=C83))*4</f>
        <v>0</v>
      </c>
      <c r="L83" s="397" t="e">
        <f t="shared" ref="L83:L86" si="43">+K83/$C$4</f>
        <v>#DIV/0!</v>
      </c>
      <c r="M83" s="352"/>
      <c r="N83" s="398" cm="1">
        <f t="array" ref="N83">+SUMPRODUCT('T-12 Inputs'!$O$105:$O$430*('T-12 Inputs'!$A$105:$A$430=C83))*12</f>
        <v>0</v>
      </c>
      <c r="O83" s="398" t="e">
        <f t="shared" ref="O83:O86" si="44">+N83/$C$4</f>
        <v>#DIV/0!</v>
      </c>
      <c r="P83" s="348"/>
      <c r="Q83" s="33"/>
      <c r="R83" s="349"/>
      <c r="S83" s="348"/>
      <c r="T83" s="304"/>
      <c r="U83" s="318"/>
      <c r="V83" s="381">
        <f t="shared" si="40"/>
        <v>0</v>
      </c>
      <c r="W83" s="33" t="e">
        <f t="shared" si="41"/>
        <v>#DIV/0!</v>
      </c>
      <c r="X83" s="353"/>
      <c r="Y83" s="354"/>
      <c r="AA83" s="33"/>
    </row>
    <row r="84" spans="3:29" outlineLevel="1" x14ac:dyDescent="0.3">
      <c r="C84" s="225" t="s">
        <v>172</v>
      </c>
      <c r="E84" s="396" cm="1">
        <f t="array" ref="E84">+SUMPRODUCT('T-12 Inputs'!$D$105:$O$430*('T-12 Inputs'!$A$105:$A$430=C84))</f>
        <v>0</v>
      </c>
      <c r="F84" s="397" t="e">
        <f t="shared" ref="F84:F85" si="45">+E84/$C$4</f>
        <v>#DIV/0!</v>
      </c>
      <c r="G84" s="307"/>
      <c r="H84" s="398" cm="1">
        <f t="array" ref="H84">+SUMPRODUCT('T-12 Inputs'!$J$105:$O$430*('T-12 Inputs'!$A$105:$A$430=C84))*2</f>
        <v>0</v>
      </c>
      <c r="I84" s="398" t="e">
        <f t="shared" si="42"/>
        <v>#DIV/0!</v>
      </c>
      <c r="J84" s="352"/>
      <c r="K84" s="399" cm="1">
        <f t="array" ref="K84">+SUMPRODUCT('T-12 Inputs'!$M$105:$O$430*('T-12 Inputs'!$A$105:$A$430=C84))*4</f>
        <v>0</v>
      </c>
      <c r="L84" s="397" t="e">
        <f t="shared" si="43"/>
        <v>#DIV/0!</v>
      </c>
      <c r="M84" s="352"/>
      <c r="N84" s="398" cm="1">
        <f t="array" ref="N84">+SUMPRODUCT('T-12 Inputs'!$O$105:$O$430*('T-12 Inputs'!$A$105:$A$430=C84))*12</f>
        <v>0</v>
      </c>
      <c r="O84" s="398" t="e">
        <f t="shared" si="44"/>
        <v>#DIV/0!</v>
      </c>
      <c r="P84" s="348"/>
      <c r="Q84" s="33"/>
      <c r="R84" s="349"/>
      <c r="S84" s="348"/>
      <c r="T84" s="304"/>
      <c r="U84" s="318"/>
      <c r="V84" s="381">
        <f t="shared" si="40"/>
        <v>0</v>
      </c>
      <c r="W84" s="33" t="e">
        <f t="shared" si="41"/>
        <v>#DIV/0!</v>
      </c>
      <c r="X84" s="353"/>
      <c r="Y84" s="354"/>
      <c r="AA84" s="33"/>
    </row>
    <row r="85" spans="3:29" outlineLevel="1" x14ac:dyDescent="0.3">
      <c r="C85" s="225" t="s">
        <v>487</v>
      </c>
      <c r="E85" s="396" cm="1">
        <f t="array" ref="E85">+SUMPRODUCT('T-12 Inputs'!$D$105:$O$430*('T-12 Inputs'!$A$105:$A$430=C85))</f>
        <v>0</v>
      </c>
      <c r="F85" s="397" t="e">
        <f t="shared" si="45"/>
        <v>#DIV/0!</v>
      </c>
      <c r="G85" s="307"/>
      <c r="H85" s="398" cm="1">
        <f t="array" ref="H85">+SUMPRODUCT('T-12 Inputs'!$J$105:$O$430*('T-12 Inputs'!$A$105:$A$430=C85))*2</f>
        <v>0</v>
      </c>
      <c r="I85" s="398" t="e">
        <f t="shared" si="42"/>
        <v>#DIV/0!</v>
      </c>
      <c r="J85" s="352"/>
      <c r="K85" s="399" cm="1">
        <f t="array" ref="K85">+SUMPRODUCT('T-12 Inputs'!$M$105:$O$430*('T-12 Inputs'!$A$105:$A$430=C85))*4</f>
        <v>0</v>
      </c>
      <c r="L85" s="397" t="e">
        <f t="shared" si="43"/>
        <v>#DIV/0!</v>
      </c>
      <c r="M85" s="352"/>
      <c r="N85" s="398" cm="1">
        <f t="array" ref="N85">+SUMPRODUCT('T-12 Inputs'!$O$105:$O$430*('T-12 Inputs'!$A$105:$A$430=C85))*12</f>
        <v>0</v>
      </c>
      <c r="O85" s="398" t="e">
        <f t="shared" si="44"/>
        <v>#DIV/0!</v>
      </c>
      <c r="P85" s="348"/>
      <c r="Q85" s="33"/>
      <c r="R85" s="349"/>
      <c r="S85" s="348"/>
      <c r="T85" s="304"/>
      <c r="U85" s="318"/>
      <c r="V85" s="381">
        <f t="shared" si="40"/>
        <v>0</v>
      </c>
      <c r="W85" s="33" t="e">
        <f t="shared" si="41"/>
        <v>#DIV/0!</v>
      </c>
      <c r="X85" s="353"/>
      <c r="Y85" s="354"/>
      <c r="AA85" s="33"/>
    </row>
    <row r="86" spans="3:29" outlineLevel="1" x14ac:dyDescent="0.3">
      <c r="C86" s="225" t="s">
        <v>231</v>
      </c>
      <c r="E86" s="396" cm="1">
        <f t="array" ref="E86">+SUMPRODUCT('T-12 Inputs'!$D$105:$O$430*('T-12 Inputs'!$A$105:$A$430=C86))</f>
        <v>0</v>
      </c>
      <c r="F86" s="397" t="e">
        <f t="shared" ref="F86" si="46">+E86/$C$4</f>
        <v>#DIV/0!</v>
      </c>
      <c r="G86" s="307"/>
      <c r="H86" s="398" cm="1">
        <f t="array" ref="H86">+SUMPRODUCT('T-12 Inputs'!$J$105:$O$430*('T-12 Inputs'!$A$105:$A$430=C86))*2</f>
        <v>0</v>
      </c>
      <c r="I86" s="398" t="e">
        <f t="shared" si="42"/>
        <v>#DIV/0!</v>
      </c>
      <c r="J86" s="352"/>
      <c r="K86" s="399" cm="1">
        <f t="array" ref="K86">+SUMPRODUCT('T-12 Inputs'!$M$105:$O$430*('T-12 Inputs'!$A$105:$A$430=C86))*4</f>
        <v>0</v>
      </c>
      <c r="L86" s="397" t="e">
        <f t="shared" si="43"/>
        <v>#DIV/0!</v>
      </c>
      <c r="M86" s="352"/>
      <c r="N86" s="398" cm="1">
        <f t="array" ref="N86">+SUMPRODUCT('T-12 Inputs'!$O$105:$O$430*('T-12 Inputs'!$A$105:$A$430=C86))*12</f>
        <v>0</v>
      </c>
      <c r="O86" s="398" t="e">
        <f t="shared" si="44"/>
        <v>#DIV/0!</v>
      </c>
      <c r="P86" s="348"/>
      <c r="Q86" s="33"/>
      <c r="R86" s="349"/>
      <c r="S86" s="348"/>
      <c r="T86" s="304"/>
      <c r="U86" s="318"/>
      <c r="V86" s="381">
        <f t="shared" si="40"/>
        <v>0</v>
      </c>
      <c r="W86" s="33" t="e">
        <f t="shared" si="41"/>
        <v>#DIV/0!</v>
      </c>
      <c r="X86" s="353"/>
      <c r="Y86" s="354"/>
      <c r="AA86" s="33"/>
    </row>
    <row r="87" spans="3:29" outlineLevel="1" x14ac:dyDescent="0.3">
      <c r="C87" s="225" t="s">
        <v>481</v>
      </c>
      <c r="E87" s="396" cm="1">
        <f t="array" ref="E87">+SUMPRODUCT('T-12 Inputs'!$D$105:$O$430*('T-12 Inputs'!$A$105:$A$430=C87))</f>
        <v>0</v>
      </c>
      <c r="F87" s="397" t="e">
        <f>+E87/$C$4</f>
        <v>#DIV/0!</v>
      </c>
      <c r="G87" s="307"/>
      <c r="H87" s="398" cm="1">
        <f t="array" ref="H87">+SUMPRODUCT('T-12 Inputs'!$J$105:$O$430*('T-12 Inputs'!$A$105:$A$430=C87))*2</f>
        <v>0</v>
      </c>
      <c r="I87" s="398" t="e">
        <f>+H87/$C$4</f>
        <v>#DIV/0!</v>
      </c>
      <c r="J87" s="352"/>
      <c r="K87" s="399" cm="1">
        <f t="array" ref="K87">+SUMPRODUCT('T-12 Inputs'!$M$105:$O$430*('T-12 Inputs'!$A$105:$A$430=C87))*4</f>
        <v>0</v>
      </c>
      <c r="L87" s="397" t="e">
        <f>+K87/$C$4</f>
        <v>#DIV/0!</v>
      </c>
      <c r="M87" s="352"/>
      <c r="N87" s="398" cm="1">
        <f t="array" ref="N87">+SUMPRODUCT('T-12 Inputs'!$O$105:$O$430*('T-12 Inputs'!$A$105:$A$430=C87))*12</f>
        <v>0</v>
      </c>
      <c r="O87" s="398" t="e">
        <f>+N87/$C$4</f>
        <v>#DIV/0!</v>
      </c>
      <c r="P87" s="360"/>
      <c r="Q87" s="33"/>
      <c r="R87" s="349"/>
      <c r="S87" s="348"/>
      <c r="T87" s="304"/>
      <c r="U87" s="318"/>
      <c r="V87" s="381">
        <f t="shared" si="40"/>
        <v>0</v>
      </c>
      <c r="W87" s="33" t="e">
        <f>+V87/$C$4</f>
        <v>#DIV/0!</v>
      </c>
      <c r="X87" s="353"/>
      <c r="Y87" s="354"/>
      <c r="AA87" s="33"/>
    </row>
    <row r="88" spans="3:29" x14ac:dyDescent="0.3">
      <c r="C88" s="203" t="s">
        <v>187</v>
      </c>
      <c r="D88" s="204"/>
      <c r="E88" s="371">
        <f>SUM(E79:E87)</f>
        <v>0</v>
      </c>
      <c r="F88" s="372" t="e">
        <f>+E88/$C$4</f>
        <v>#DIV/0!</v>
      </c>
      <c r="G88" s="329"/>
      <c r="H88" s="246">
        <f>SUM(H79:H87)</f>
        <v>0</v>
      </c>
      <c r="I88" s="246" t="e">
        <f>+H88/$C$4</f>
        <v>#DIV/0!</v>
      </c>
      <c r="J88" s="368"/>
      <c r="K88" s="373">
        <f>SUM(K79:K87)</f>
        <v>0</v>
      </c>
      <c r="L88" s="372" t="e">
        <f>+K88/$C$4</f>
        <v>#DIV/0!</v>
      </c>
      <c r="M88" s="368"/>
      <c r="N88" s="246">
        <f>SUM(N79:N87)</f>
        <v>0</v>
      </c>
      <c r="O88" s="246" t="e">
        <f>+N88/$C$4</f>
        <v>#DIV/0!</v>
      </c>
      <c r="P88" s="374"/>
      <c r="Q88" s="332"/>
      <c r="R88" s="366">
        <f>SUM(R79:R87)</f>
        <v>0</v>
      </c>
      <c r="S88" s="374" t="e">
        <f>+R88/$C$4</f>
        <v>#DIV/0!</v>
      </c>
      <c r="T88" s="304"/>
      <c r="U88" s="376"/>
      <c r="V88" s="150">
        <f>SUM(V79:V87)</f>
        <v>0</v>
      </c>
      <c r="W88" s="402" t="e">
        <f>+V88/C4</f>
        <v>#DIV/0!</v>
      </c>
      <c r="X88" s="382"/>
      <c r="Y88" s="383"/>
    </row>
    <row r="89" spans="3:29" ht="10.199999999999999" customHeight="1" x14ac:dyDescent="0.3">
      <c r="C89" s="225"/>
      <c r="E89" s="318"/>
      <c r="F89" s="346"/>
      <c r="G89" s="307"/>
      <c r="H89" s="33"/>
      <c r="I89" s="33"/>
      <c r="J89" s="352"/>
      <c r="K89" s="347"/>
      <c r="L89" s="346"/>
      <c r="M89" s="352"/>
      <c r="N89" s="33"/>
      <c r="O89" s="33"/>
      <c r="P89" s="403"/>
      <c r="Q89" s="33"/>
      <c r="R89" s="369"/>
      <c r="S89" s="348"/>
      <c r="T89" s="304"/>
      <c r="U89" s="318"/>
      <c r="V89" s="307"/>
      <c r="X89" s="225"/>
      <c r="Y89" s="317"/>
    </row>
    <row r="90" spans="3:29" outlineLevel="1" x14ac:dyDescent="0.3">
      <c r="C90" s="225" t="s">
        <v>173</v>
      </c>
      <c r="E90" s="396" cm="1">
        <f t="array" ref="E90">+SUMPRODUCT('T-12 Inputs'!$D$105:$O$430*('T-12 Inputs'!$A$105:$A$430=C90))</f>
        <v>0</v>
      </c>
      <c r="F90" s="397" t="e">
        <f t="shared" ref="F90:F98" si="47">+E90/$C$4</f>
        <v>#DIV/0!</v>
      </c>
      <c r="G90" s="307"/>
      <c r="H90" s="398" cm="1">
        <f t="array" ref="H90">+SUMPRODUCT('T-12 Inputs'!$J$105:$O$430*('T-12 Inputs'!$A$105:$A$430=C90))*2</f>
        <v>0</v>
      </c>
      <c r="I90" s="398" t="e">
        <f t="shared" ref="I90:I98" si="48">+H90/$C$4</f>
        <v>#DIV/0!</v>
      </c>
      <c r="J90" s="352"/>
      <c r="K90" s="399" cm="1">
        <f t="array" ref="K90">+SUMPRODUCT('T-12 Inputs'!$M$105:$O$430*('T-12 Inputs'!$A$105:$A$430=C90))*4</f>
        <v>0</v>
      </c>
      <c r="L90" s="397" t="e">
        <f t="shared" ref="L90:L98" si="49">+K90/$C$4</f>
        <v>#DIV/0!</v>
      </c>
      <c r="M90" s="352"/>
      <c r="N90" s="398" cm="1">
        <f t="array" ref="N90">+SUMPRODUCT('T-12 Inputs'!$O$105:$O$430*('T-12 Inputs'!$A$105:$A$430=C90))*12</f>
        <v>0</v>
      </c>
      <c r="O90" s="398" t="e">
        <f t="shared" ref="O90:O98" si="50">+N90/$C$4</f>
        <v>#DIV/0!</v>
      </c>
      <c r="P90" s="348"/>
      <c r="Q90" s="33"/>
      <c r="R90" s="349"/>
      <c r="S90" s="348"/>
      <c r="T90" s="304"/>
      <c r="U90" s="318"/>
      <c r="V90" s="381">
        <f>E90</f>
        <v>0</v>
      </c>
      <c r="W90" s="346" t="e">
        <f t="shared" ref="W90:W94" si="51">+V90/$C$4</f>
        <v>#DIV/0!</v>
      </c>
      <c r="X90" s="353"/>
      <c r="Y90" s="354" t="s">
        <v>484</v>
      </c>
      <c r="AC90" s="33"/>
    </row>
    <row r="91" spans="3:29" ht="13.8" customHeight="1" outlineLevel="1" x14ac:dyDescent="0.3">
      <c r="C91" s="225" t="s">
        <v>174</v>
      </c>
      <c r="E91" s="396" cm="1">
        <f t="array" ref="E91">+SUMPRODUCT('T-12 Inputs'!$D$105:$O$430*('T-12 Inputs'!$A$105:$A$430=C91))</f>
        <v>0</v>
      </c>
      <c r="F91" s="397" t="e">
        <f t="shared" si="47"/>
        <v>#DIV/0!</v>
      </c>
      <c r="G91" s="307"/>
      <c r="H91" s="398" cm="1">
        <f t="array" ref="H91">+SUMPRODUCT('T-12 Inputs'!$J$105:$O$430*('T-12 Inputs'!$A$105:$A$430=C91))*2</f>
        <v>0</v>
      </c>
      <c r="I91" s="398" t="e">
        <f t="shared" si="48"/>
        <v>#DIV/0!</v>
      </c>
      <c r="J91" s="352"/>
      <c r="K91" s="399" cm="1">
        <f t="array" ref="K91">+SUMPRODUCT('T-12 Inputs'!$M$105:$O$430*('T-12 Inputs'!$A$105:$A$430=C91))*4</f>
        <v>0</v>
      </c>
      <c r="L91" s="397" t="e">
        <f t="shared" si="49"/>
        <v>#DIV/0!</v>
      </c>
      <c r="M91" s="352"/>
      <c r="N91" s="398" cm="1">
        <f t="array" ref="N91">+SUMPRODUCT('T-12 Inputs'!$O$105:$O$430*('T-12 Inputs'!$A$105:$A$430=C91))*12</f>
        <v>0</v>
      </c>
      <c r="O91" s="398" t="e">
        <f t="shared" si="50"/>
        <v>#DIV/0!</v>
      </c>
      <c r="P91" s="348"/>
      <c r="Q91" s="33"/>
      <c r="R91" s="349"/>
      <c r="S91" s="348"/>
      <c r="T91" s="304"/>
      <c r="U91" s="318"/>
      <c r="V91" s="381">
        <f>E91</f>
        <v>0</v>
      </c>
      <c r="W91" s="346" t="e">
        <f t="shared" si="51"/>
        <v>#DIV/0!</v>
      </c>
      <c r="X91" s="353"/>
      <c r="Y91" s="354" t="s">
        <v>484</v>
      </c>
    </row>
    <row r="92" spans="3:29" ht="13.8" customHeight="1" outlineLevel="1" x14ac:dyDescent="0.3">
      <c r="C92" s="225" t="s">
        <v>60</v>
      </c>
      <c r="E92" s="396" cm="1">
        <f t="array" ref="E92">+SUMPRODUCT('T-12 Inputs'!$D$105:$O$430*('T-12 Inputs'!$A$105:$A$430=C92))</f>
        <v>0</v>
      </c>
      <c r="F92" s="397" t="e">
        <f t="shared" si="47"/>
        <v>#DIV/0!</v>
      </c>
      <c r="G92" s="307"/>
      <c r="H92" s="398" cm="1">
        <f t="array" ref="H92">+SUMPRODUCT('T-12 Inputs'!$J$105:$O$430*('T-12 Inputs'!$A$105:$A$430=C92))*2</f>
        <v>0</v>
      </c>
      <c r="I92" s="398" t="e">
        <f t="shared" si="48"/>
        <v>#DIV/0!</v>
      </c>
      <c r="J92" s="352"/>
      <c r="K92" s="399" cm="1">
        <f t="array" ref="K92">+SUMPRODUCT('T-12 Inputs'!$M$105:$O$430*('T-12 Inputs'!$A$105:$A$430=C92))*4</f>
        <v>0</v>
      </c>
      <c r="L92" s="397" t="e">
        <f t="shared" si="49"/>
        <v>#DIV/0!</v>
      </c>
      <c r="M92" s="352"/>
      <c r="N92" s="398" cm="1">
        <f t="array" ref="N92">+SUMPRODUCT('T-12 Inputs'!$O$105:$O$430*('T-12 Inputs'!$A$105:$A$430=C92))*12</f>
        <v>0</v>
      </c>
      <c r="O92" s="398" t="e">
        <f t="shared" si="50"/>
        <v>#DIV/0!</v>
      </c>
      <c r="P92" s="348"/>
      <c r="Q92" s="33"/>
      <c r="R92" s="349"/>
      <c r="S92" s="348"/>
      <c r="T92" s="304"/>
      <c r="U92" s="318"/>
      <c r="V92" s="381">
        <f>E92</f>
        <v>0</v>
      </c>
      <c r="W92" s="346" t="e">
        <f t="shared" si="51"/>
        <v>#DIV/0!</v>
      </c>
      <c r="X92" s="353"/>
      <c r="Y92" s="354" t="s">
        <v>484</v>
      </c>
    </row>
    <row r="93" spans="3:29" ht="13.8" customHeight="1" outlineLevel="1" x14ac:dyDescent="0.3">
      <c r="C93" s="225" t="s">
        <v>175</v>
      </c>
      <c r="E93" s="396" cm="1">
        <f t="array" ref="E93">+SUMPRODUCT('T-12 Inputs'!$D$105:$O$430*('T-12 Inputs'!$A$105:$A$430=C93))</f>
        <v>0</v>
      </c>
      <c r="F93" s="397" t="e">
        <f t="shared" si="47"/>
        <v>#DIV/0!</v>
      </c>
      <c r="G93" s="307"/>
      <c r="H93" s="398" cm="1">
        <f t="array" ref="H93">+SUMPRODUCT('T-12 Inputs'!$J$105:$O$430*('T-12 Inputs'!$A$105:$A$430=C93))*2</f>
        <v>0</v>
      </c>
      <c r="I93" s="398" t="e">
        <f t="shared" si="48"/>
        <v>#DIV/0!</v>
      </c>
      <c r="J93" s="352"/>
      <c r="K93" s="399" cm="1">
        <f t="array" ref="K93">+SUMPRODUCT('T-12 Inputs'!$M$105:$O$430*('T-12 Inputs'!$A$105:$A$430=C93))*4</f>
        <v>0</v>
      </c>
      <c r="L93" s="397" t="e">
        <f t="shared" si="49"/>
        <v>#DIV/0!</v>
      </c>
      <c r="M93" s="352"/>
      <c r="N93" s="398" cm="1">
        <f t="array" ref="N93">+SUMPRODUCT('T-12 Inputs'!$O$105:$O$430*('T-12 Inputs'!$A$105:$A$430=C93))*12</f>
        <v>0</v>
      </c>
      <c r="O93" s="398" t="e">
        <f t="shared" si="50"/>
        <v>#DIV/0!</v>
      </c>
      <c r="P93" s="348"/>
      <c r="Q93" s="33"/>
      <c r="R93" s="349"/>
      <c r="S93" s="348"/>
      <c r="T93" s="304"/>
      <c r="U93" s="318"/>
      <c r="V93" s="381">
        <f>E93</f>
        <v>0</v>
      </c>
      <c r="W93" s="346" t="e">
        <f t="shared" si="51"/>
        <v>#DIV/0!</v>
      </c>
      <c r="X93" s="353"/>
      <c r="Y93" s="354" t="s">
        <v>484</v>
      </c>
    </row>
    <row r="94" spans="3:29" ht="13.8" customHeight="1" outlineLevel="1" x14ac:dyDescent="0.3">
      <c r="C94" s="225" t="s">
        <v>177</v>
      </c>
      <c r="E94" s="396" cm="1">
        <f t="array" ref="E94">+SUMPRODUCT('T-12 Inputs'!$D$105:$O$430*('T-12 Inputs'!$A$105:$A$430=C94))</f>
        <v>0</v>
      </c>
      <c r="F94" s="397" t="e">
        <f t="shared" si="47"/>
        <v>#DIV/0!</v>
      </c>
      <c r="G94" s="307"/>
      <c r="H94" s="398" cm="1">
        <f t="array" ref="H94">+SUMPRODUCT('T-12 Inputs'!$J$105:$O$430*('T-12 Inputs'!$A$105:$A$430=C94))*2</f>
        <v>0</v>
      </c>
      <c r="I94" s="398" t="e">
        <f t="shared" si="48"/>
        <v>#DIV/0!</v>
      </c>
      <c r="J94" s="352"/>
      <c r="K94" s="399" cm="1">
        <f t="array" ref="K94">+SUMPRODUCT('T-12 Inputs'!$M$105:$O$430*('T-12 Inputs'!$A$105:$A$430=C94))*4</f>
        <v>0</v>
      </c>
      <c r="L94" s="397" t="e">
        <f t="shared" si="49"/>
        <v>#DIV/0!</v>
      </c>
      <c r="M94" s="352"/>
      <c r="N94" s="398" cm="1">
        <f t="array" ref="N94">+SUMPRODUCT('T-12 Inputs'!$O$105:$O$430*('T-12 Inputs'!$A$105:$A$430=C94))*12</f>
        <v>0</v>
      </c>
      <c r="O94" s="398" t="e">
        <f t="shared" si="50"/>
        <v>#DIV/0!</v>
      </c>
      <c r="P94" s="348"/>
      <c r="Q94" s="33"/>
      <c r="R94" s="349"/>
      <c r="S94" s="348"/>
      <c r="T94" s="304"/>
      <c r="U94" s="318"/>
      <c r="V94" s="381">
        <f>E94</f>
        <v>0</v>
      </c>
      <c r="W94" s="346" t="e">
        <f t="shared" si="51"/>
        <v>#DIV/0!</v>
      </c>
      <c r="X94" s="353"/>
      <c r="Y94" s="354" t="s">
        <v>484</v>
      </c>
    </row>
    <row r="95" spans="3:29" ht="13.8" customHeight="1" outlineLevel="1" x14ac:dyDescent="0.3">
      <c r="C95" s="225" t="s">
        <v>513</v>
      </c>
      <c r="E95" s="396" cm="1">
        <f t="array" ref="E95">+SUMPRODUCT('T-12 Inputs'!$D$105:$O$430*('T-12 Inputs'!$A$105:$A$430=C95))</f>
        <v>0</v>
      </c>
      <c r="F95" s="397" t="e">
        <f t="shared" ref="F95:F97" si="52">+E95/$C$4</f>
        <v>#DIV/0!</v>
      </c>
      <c r="G95" s="307"/>
      <c r="H95" s="398" cm="1">
        <f t="array" ref="H95">+SUMPRODUCT('T-12 Inputs'!$J$105:$O$430*('T-12 Inputs'!$A$105:$A$430=C95))*2</f>
        <v>0</v>
      </c>
      <c r="I95" s="398" t="e">
        <f t="shared" ref="I95:I97" si="53">+H95/$C$4</f>
        <v>#DIV/0!</v>
      </c>
      <c r="J95" s="352"/>
      <c r="K95" s="399" cm="1">
        <f t="array" ref="K95">+SUMPRODUCT('T-12 Inputs'!$M$105:$O$430*('T-12 Inputs'!$A$105:$A$430=C95))*4</f>
        <v>0</v>
      </c>
      <c r="L95" s="397" t="e">
        <f t="shared" ref="L95:L97" si="54">+K95/$C$4</f>
        <v>#DIV/0!</v>
      </c>
      <c r="M95" s="352"/>
      <c r="N95" s="398" cm="1">
        <f t="array" ref="N95">+SUMPRODUCT('T-12 Inputs'!$O$105:$O$430*('T-12 Inputs'!$A$105:$A$430=C95))*12</f>
        <v>0</v>
      </c>
      <c r="O95" s="398" t="e">
        <f t="shared" ref="O95:O97" si="55">+N95/$C$4</f>
        <v>#DIV/0!</v>
      </c>
      <c r="P95" s="348"/>
      <c r="Q95" s="33"/>
      <c r="R95" s="349"/>
      <c r="S95" s="348"/>
      <c r="T95" s="304"/>
      <c r="U95" s="318"/>
      <c r="V95" s="381">
        <f t="shared" ref="V95:V97" si="56">E95</f>
        <v>0</v>
      </c>
      <c r="W95" s="346" t="e">
        <f t="shared" ref="W95:W97" si="57">+V95/$C$4</f>
        <v>#DIV/0!</v>
      </c>
      <c r="X95" s="353"/>
      <c r="Y95" s="354"/>
    </row>
    <row r="96" spans="3:29" ht="13.8" customHeight="1" outlineLevel="1" x14ac:dyDescent="0.3">
      <c r="C96" s="225" t="s">
        <v>478</v>
      </c>
      <c r="E96" s="396" cm="1">
        <f t="array" ref="E96">+SUMPRODUCT('T-12 Inputs'!$D$105:$O$430*('T-12 Inputs'!$A$105:$A$430=C96))</f>
        <v>0</v>
      </c>
      <c r="F96" s="397" t="e">
        <f t="shared" si="52"/>
        <v>#DIV/0!</v>
      </c>
      <c r="G96" s="307"/>
      <c r="H96" s="398" cm="1">
        <f t="array" ref="H96">+SUMPRODUCT('T-12 Inputs'!$J$105:$O$430*('T-12 Inputs'!$A$105:$A$430=C96))*2</f>
        <v>0</v>
      </c>
      <c r="I96" s="398" t="e">
        <f t="shared" si="53"/>
        <v>#DIV/0!</v>
      </c>
      <c r="J96" s="352"/>
      <c r="K96" s="399" cm="1">
        <f t="array" ref="K96">+SUMPRODUCT('T-12 Inputs'!$M$105:$O$430*('T-12 Inputs'!$A$105:$A$430=C96))*4</f>
        <v>0</v>
      </c>
      <c r="L96" s="397" t="e">
        <f t="shared" si="54"/>
        <v>#DIV/0!</v>
      </c>
      <c r="M96" s="352"/>
      <c r="N96" s="398" cm="1">
        <f t="array" ref="N96">+SUMPRODUCT('T-12 Inputs'!$O$105:$O$430*('T-12 Inputs'!$A$105:$A$430=C96))*12</f>
        <v>0</v>
      </c>
      <c r="O96" s="398" t="e">
        <f t="shared" si="55"/>
        <v>#DIV/0!</v>
      </c>
      <c r="P96" s="348"/>
      <c r="Q96" s="33"/>
      <c r="R96" s="349"/>
      <c r="S96" s="348"/>
      <c r="T96" s="304"/>
      <c r="U96" s="318"/>
      <c r="V96" s="381">
        <f t="shared" si="56"/>
        <v>0</v>
      </c>
      <c r="W96" s="346" t="e">
        <f t="shared" si="57"/>
        <v>#DIV/0!</v>
      </c>
      <c r="X96" s="353"/>
      <c r="Y96" s="354"/>
    </row>
    <row r="97" spans="3:25" ht="13.8" customHeight="1" outlineLevel="1" x14ac:dyDescent="0.3">
      <c r="C97" s="225" t="s">
        <v>461</v>
      </c>
      <c r="E97" s="396" cm="1">
        <f t="array" ref="E97">+SUMPRODUCT('T-12 Inputs'!$D$105:$O$430*('T-12 Inputs'!$A$105:$A$430=C97))</f>
        <v>0</v>
      </c>
      <c r="F97" s="397" t="e">
        <f t="shared" si="52"/>
        <v>#DIV/0!</v>
      </c>
      <c r="G97" s="307"/>
      <c r="H97" s="398" cm="1">
        <f t="array" ref="H97">+SUMPRODUCT('T-12 Inputs'!$J$105:$O$430*('T-12 Inputs'!$A$105:$A$430=C97))*2</f>
        <v>0</v>
      </c>
      <c r="I97" s="398" t="e">
        <f t="shared" si="53"/>
        <v>#DIV/0!</v>
      </c>
      <c r="J97" s="352"/>
      <c r="K97" s="399" cm="1">
        <f t="array" ref="K97">+SUMPRODUCT('T-12 Inputs'!$M$105:$O$430*('T-12 Inputs'!$A$105:$A$430=C97))*4</f>
        <v>0</v>
      </c>
      <c r="L97" s="397" t="e">
        <f t="shared" si="54"/>
        <v>#DIV/0!</v>
      </c>
      <c r="M97" s="352"/>
      <c r="N97" s="398" cm="1">
        <f t="array" ref="N97">+SUMPRODUCT('T-12 Inputs'!$O$105:$O$430*('T-12 Inputs'!$A$105:$A$430=C97))*12</f>
        <v>0</v>
      </c>
      <c r="O97" s="398" t="e">
        <f t="shared" si="55"/>
        <v>#DIV/0!</v>
      </c>
      <c r="P97" s="348"/>
      <c r="Q97" s="33"/>
      <c r="R97" s="349"/>
      <c r="S97" s="348"/>
      <c r="T97" s="304"/>
      <c r="U97" s="318"/>
      <c r="V97" s="381">
        <f t="shared" si="56"/>
        <v>0</v>
      </c>
      <c r="W97" s="346" t="e">
        <f t="shared" si="57"/>
        <v>#DIV/0!</v>
      </c>
      <c r="X97" s="353"/>
      <c r="Y97" s="354"/>
    </row>
    <row r="98" spans="3:25" ht="13.8" customHeight="1" x14ac:dyDescent="0.3">
      <c r="C98" s="203" t="s">
        <v>188</v>
      </c>
      <c r="D98" s="204"/>
      <c r="E98" s="371">
        <f>SUM(E90:E97)</f>
        <v>0</v>
      </c>
      <c r="F98" s="372" t="e">
        <f t="shared" si="47"/>
        <v>#DIV/0!</v>
      </c>
      <c r="G98" s="329"/>
      <c r="H98" s="246">
        <f>SUM(H90:H97)</f>
        <v>0</v>
      </c>
      <c r="I98" s="246" t="e">
        <f t="shared" si="48"/>
        <v>#DIV/0!</v>
      </c>
      <c r="J98" s="368"/>
      <c r="K98" s="373">
        <f>SUM(K90:K97)</f>
        <v>0</v>
      </c>
      <c r="L98" s="372" t="e">
        <f t="shared" si="49"/>
        <v>#DIV/0!</v>
      </c>
      <c r="M98" s="368"/>
      <c r="N98" s="246">
        <f>SUM(N90:N97)</f>
        <v>0</v>
      </c>
      <c r="O98" s="246" t="e">
        <f t="shared" si="50"/>
        <v>#DIV/0!</v>
      </c>
      <c r="P98" s="374"/>
      <c r="Q98" s="332"/>
      <c r="R98" s="366">
        <f>SUM(R90:R97)</f>
        <v>0</v>
      </c>
      <c r="S98" s="374" t="e">
        <f t="shared" ref="S98" si="58">+R98/$C$4</f>
        <v>#DIV/0!</v>
      </c>
      <c r="T98" s="304"/>
      <c r="U98" s="376"/>
      <c r="V98" s="150">
        <f>SUM(V90:V97)</f>
        <v>0</v>
      </c>
      <c r="W98" s="246" t="e">
        <f>+V98/C4</f>
        <v>#DIV/0!</v>
      </c>
      <c r="X98" s="382"/>
      <c r="Y98" s="383"/>
    </row>
    <row r="99" spans="3:25" x14ac:dyDescent="0.3">
      <c r="C99" s="225"/>
      <c r="E99" s="318"/>
      <c r="F99" s="346"/>
      <c r="G99" s="307"/>
      <c r="H99" s="33"/>
      <c r="I99" s="33"/>
      <c r="J99" s="352"/>
      <c r="K99" s="347"/>
      <c r="L99" s="346"/>
      <c r="M99" s="352"/>
      <c r="N99" s="33"/>
      <c r="O99" s="33"/>
      <c r="P99" s="348"/>
      <c r="Q99" s="33"/>
      <c r="R99" s="369"/>
      <c r="S99" s="348"/>
      <c r="T99" s="304"/>
      <c r="U99" s="318"/>
      <c r="V99" s="307"/>
      <c r="X99" s="225"/>
      <c r="Y99" s="317"/>
    </row>
    <row r="100" spans="3:25" x14ac:dyDescent="0.3">
      <c r="C100" s="384" t="s">
        <v>433</v>
      </c>
      <c r="D100" s="385"/>
      <c r="E100" s="386">
        <f>+SUM(E60,E71,E77,E88,E98)</f>
        <v>0</v>
      </c>
      <c r="F100" s="387" t="e">
        <f>+E100/$C$4</f>
        <v>#DIV/0!</v>
      </c>
      <c r="G100" s="307"/>
      <c r="H100" s="388">
        <f>+SUM(H60,H71,H77,H88,H98,)</f>
        <v>0</v>
      </c>
      <c r="I100" s="388" t="e">
        <f>+H100/$C$4</f>
        <v>#DIV/0!</v>
      </c>
      <c r="J100" s="307"/>
      <c r="K100" s="388">
        <f>+SUM(K60,K71,K77,K88,K98,)</f>
        <v>0</v>
      </c>
      <c r="L100" s="387" t="e">
        <f>+K100/$C$4</f>
        <v>#DIV/0!</v>
      </c>
      <c r="M100" s="307"/>
      <c r="N100" s="388">
        <f>+SUM(N60,N71,N77,N88,N98,)</f>
        <v>0</v>
      </c>
      <c r="O100" s="388" t="e">
        <f>+N100/$C$4</f>
        <v>#DIV/0!</v>
      </c>
      <c r="P100" s="374"/>
      <c r="Q100" s="332"/>
      <c r="R100" s="390">
        <f>+SUM(R47,R59,R65,R75,R82,R88,R92,R98)</f>
        <v>0</v>
      </c>
      <c r="S100" s="391" t="e">
        <f>+R100/$C$4</f>
        <v>#DIV/0!</v>
      </c>
      <c r="T100" s="304"/>
      <c r="U100" s="376"/>
      <c r="V100" s="392">
        <f>+SUM(V60,V71,V77,V88,V98,)</f>
        <v>664044.5</v>
      </c>
      <c r="W100" s="388" t="e">
        <f>+V100/$C$4</f>
        <v>#DIV/0!</v>
      </c>
      <c r="X100" s="209"/>
      <c r="Y100" s="377"/>
    </row>
    <row r="101" spans="3:25" ht="10.199999999999999" customHeight="1" x14ac:dyDescent="0.3">
      <c r="C101" s="225"/>
      <c r="E101" s="318"/>
      <c r="F101" s="346"/>
      <c r="G101" s="307"/>
      <c r="H101" s="33"/>
      <c r="I101" s="33"/>
      <c r="J101" s="352"/>
      <c r="K101" s="347"/>
      <c r="L101" s="346"/>
      <c r="M101" s="352"/>
      <c r="N101" s="33"/>
      <c r="O101" s="33"/>
      <c r="P101" s="348"/>
      <c r="Q101" s="33"/>
      <c r="R101" s="369"/>
      <c r="S101" s="348"/>
      <c r="T101" s="304"/>
      <c r="U101" s="318"/>
      <c r="V101" s="307"/>
      <c r="X101" s="225"/>
      <c r="Y101" s="317"/>
    </row>
    <row r="102" spans="3:25" outlineLevel="1" x14ac:dyDescent="0.3">
      <c r="C102" s="225" t="s">
        <v>194</v>
      </c>
      <c r="E102" s="396" cm="1">
        <f t="array" ref="E102">+SUMPRODUCT('T-12 Inputs'!$D$105:$O$430*('T-12 Inputs'!$A$105:$A$430=C102))</f>
        <v>0</v>
      </c>
      <c r="F102" s="397" t="e">
        <f>+E102/$C$4</f>
        <v>#DIV/0!</v>
      </c>
      <c r="G102" s="307"/>
      <c r="H102" s="398" cm="1">
        <f t="array" ref="H102">+SUMPRODUCT('T-12 Inputs'!$J$105:$O$430*('T-12 Inputs'!$A$105:$A$430=C102))*2</f>
        <v>0</v>
      </c>
      <c r="I102" s="398" t="e">
        <f>+H102/$C$4</f>
        <v>#DIV/0!</v>
      </c>
      <c r="J102" s="352"/>
      <c r="K102" s="399" cm="1">
        <f t="array" ref="K102">+SUMPRODUCT('T-12 Inputs'!$M$105:$O$430*('T-12 Inputs'!$A$105:$A$430=C102))*4</f>
        <v>0</v>
      </c>
      <c r="L102" s="397" t="e">
        <f>+K102/$C$4</f>
        <v>#DIV/0!</v>
      </c>
      <c r="M102" s="352"/>
      <c r="N102" s="398" cm="1">
        <f t="array" ref="N102">+SUMPRODUCT('T-12 Inputs'!$O$105:$O$430*('T-12 Inputs'!$A$105:$A$430=C102))*12</f>
        <v>0</v>
      </c>
      <c r="O102" s="398" t="e">
        <f>+N102/$C$4</f>
        <v>#DIV/0!</v>
      </c>
      <c r="P102" s="348"/>
      <c r="Q102" s="33"/>
      <c r="R102" s="349"/>
      <c r="S102" s="348" t="e">
        <f>+R102/C4</f>
        <v>#DIV/0!</v>
      </c>
      <c r="T102" s="304"/>
      <c r="U102" s="318"/>
      <c r="V102" s="669" t="e">
        <f>W102*V50</f>
        <v>#DIV/0!</v>
      </c>
      <c r="W102" s="405">
        <v>2.5000000000000001E-2</v>
      </c>
      <c r="X102" s="353"/>
      <c r="Y102" s="354"/>
    </row>
    <row r="103" spans="3:25" x14ac:dyDescent="0.3">
      <c r="C103" s="203" t="s">
        <v>189</v>
      </c>
      <c r="D103" s="204"/>
      <c r="E103" s="371">
        <f>+E102</f>
        <v>0</v>
      </c>
      <c r="F103" s="372" t="e">
        <f>+E103/$C$4</f>
        <v>#DIV/0!</v>
      </c>
      <c r="G103" s="329"/>
      <c r="H103" s="246">
        <f>+H102</f>
        <v>0</v>
      </c>
      <c r="I103" s="246" t="e">
        <f>+H103/$C$4</f>
        <v>#DIV/0!</v>
      </c>
      <c r="J103" s="368"/>
      <c r="K103" s="373">
        <f>+K102</f>
        <v>0</v>
      </c>
      <c r="L103" s="372" t="e">
        <f>+K103/$C$4</f>
        <v>#DIV/0!</v>
      </c>
      <c r="M103" s="368"/>
      <c r="N103" s="246">
        <f>+N102</f>
        <v>0</v>
      </c>
      <c r="O103" s="246" t="e">
        <f>+N103/$C$4</f>
        <v>#DIV/0!</v>
      </c>
      <c r="P103" s="374"/>
      <c r="Q103" s="332"/>
      <c r="R103" s="366">
        <f>+R102</f>
        <v>0</v>
      </c>
      <c r="S103" s="374" t="e">
        <f>+R103/$C$4</f>
        <v>#DIV/0!</v>
      </c>
      <c r="T103" s="304"/>
      <c r="U103" s="376"/>
      <c r="V103" s="150" t="e">
        <f>+V102</f>
        <v>#DIV/0!</v>
      </c>
      <c r="W103" s="406" t="e">
        <f>+V103/C4</f>
        <v>#DIV/0!</v>
      </c>
      <c r="X103" s="382"/>
      <c r="Y103" s="383"/>
    </row>
    <row r="104" spans="3:25" x14ac:dyDescent="0.3">
      <c r="C104" s="292" t="s">
        <v>214</v>
      </c>
      <c r="D104" s="162"/>
      <c r="E104" s="407" t="e">
        <f>+E103/E50</f>
        <v>#DIV/0!</v>
      </c>
      <c r="F104" s="408"/>
      <c r="G104" s="409"/>
      <c r="H104" s="410" t="e">
        <f>+H103/H50</f>
        <v>#DIV/0!</v>
      </c>
      <c r="I104" s="411"/>
      <c r="J104" s="412"/>
      <c r="K104" s="413" t="e">
        <f>+K103/K50</f>
        <v>#DIV/0!</v>
      </c>
      <c r="L104" s="408"/>
      <c r="M104" s="412"/>
      <c r="N104" s="410" t="e">
        <f>+N103/N50</f>
        <v>#DIV/0!</v>
      </c>
      <c r="O104" s="411"/>
      <c r="P104" s="414"/>
      <c r="Q104" s="411"/>
      <c r="R104" s="415" t="e">
        <f>+R103/R50</f>
        <v>#DIV/0!</v>
      </c>
      <c r="S104" s="416"/>
      <c r="T104" s="304"/>
      <c r="U104" s="318"/>
      <c r="V104" s="417" t="e">
        <f>+V103/$V$50</f>
        <v>#DIV/0!</v>
      </c>
      <c r="X104" s="225"/>
      <c r="Y104" s="317"/>
    </row>
    <row r="105" spans="3:25" ht="6.6" customHeight="1" x14ac:dyDescent="0.3">
      <c r="C105" s="225"/>
      <c r="E105" s="318"/>
      <c r="F105" s="346"/>
      <c r="G105" s="307"/>
      <c r="H105" s="33"/>
      <c r="I105" s="33"/>
      <c r="J105" s="352"/>
      <c r="K105" s="347"/>
      <c r="L105" s="346"/>
      <c r="M105" s="352"/>
      <c r="N105" s="33"/>
      <c r="O105" s="33"/>
      <c r="P105" s="348"/>
      <c r="Q105" s="33"/>
      <c r="R105" s="369"/>
      <c r="S105" s="348"/>
      <c r="T105" s="304"/>
      <c r="U105" s="318"/>
      <c r="V105" s="307"/>
      <c r="X105" s="225"/>
      <c r="Y105" s="317"/>
    </row>
    <row r="106" spans="3:25" outlineLevel="1" x14ac:dyDescent="0.3">
      <c r="C106" s="225" t="s">
        <v>179</v>
      </c>
      <c r="E106" s="396" cm="1">
        <f t="array" ref="E106">+SUMPRODUCT('T-12 Inputs'!$D$105:$O$430*('T-12 Inputs'!$A$105:$A$430=C106))</f>
        <v>0</v>
      </c>
      <c r="F106" s="397" t="e">
        <f>+E106/$C$4</f>
        <v>#DIV/0!</v>
      </c>
      <c r="G106" s="307"/>
      <c r="H106" s="398" cm="1">
        <f t="array" ref="H106">+SUMPRODUCT('T-12 Inputs'!$J$105:$O$430*('T-12 Inputs'!$A$105:$A$430=C106))*2</f>
        <v>0</v>
      </c>
      <c r="I106" s="398" t="e">
        <f>+H106/$C$4</f>
        <v>#DIV/0!</v>
      </c>
      <c r="J106" s="352"/>
      <c r="K106" s="399" cm="1">
        <f t="array" ref="K106">+SUMPRODUCT('T-12 Inputs'!$M$105:$O$430*('T-12 Inputs'!$A$105:$A$430=C106))*4</f>
        <v>0</v>
      </c>
      <c r="L106" s="397" t="e">
        <f>+K106/$C$4</f>
        <v>#DIV/0!</v>
      </c>
      <c r="M106" s="352"/>
      <c r="N106" s="398" cm="1">
        <f t="array" ref="N106">+SUMPRODUCT('T-12 Inputs'!$O$105:$O$430*('T-12 Inputs'!$A$105:$A$430=C106))*12</f>
        <v>0</v>
      </c>
      <c r="O106" s="398" t="e">
        <f>+N106/$C$4</f>
        <v>#DIV/0!</v>
      </c>
      <c r="P106" s="360"/>
      <c r="Q106" s="33"/>
      <c r="R106" s="349"/>
      <c r="S106" s="348" t="e">
        <f>+R106/C4</f>
        <v>#DIV/0!</v>
      </c>
      <c r="T106" s="304"/>
      <c r="U106" s="318"/>
      <c r="V106" s="381">
        <f>E106</f>
        <v>0</v>
      </c>
      <c r="W106" s="33" t="e">
        <f>+V106/$C$4</f>
        <v>#DIV/0!</v>
      </c>
      <c r="X106" s="353"/>
      <c r="Y106" s="354" t="s">
        <v>484</v>
      </c>
    </row>
    <row r="107" spans="3:25" x14ac:dyDescent="0.3">
      <c r="C107" s="203" t="s">
        <v>190</v>
      </c>
      <c r="D107" s="204"/>
      <c r="E107" s="371">
        <f>+E106</f>
        <v>0</v>
      </c>
      <c r="F107" s="372" t="e">
        <f>+E107/$C$4</f>
        <v>#DIV/0!</v>
      </c>
      <c r="G107" s="329"/>
      <c r="H107" s="246">
        <f>+H106</f>
        <v>0</v>
      </c>
      <c r="I107" s="246" t="e">
        <f>+H107/$C$4</f>
        <v>#DIV/0!</v>
      </c>
      <c r="J107" s="368"/>
      <c r="K107" s="373">
        <f>+K106</f>
        <v>0</v>
      </c>
      <c r="L107" s="372" t="e">
        <f>+K107/$C$4</f>
        <v>#DIV/0!</v>
      </c>
      <c r="M107" s="368"/>
      <c r="N107" s="246">
        <f>+N106</f>
        <v>0</v>
      </c>
      <c r="O107" s="246" t="e">
        <f>+N107/$C$4</f>
        <v>#DIV/0!</v>
      </c>
      <c r="P107" s="374"/>
      <c r="Q107" s="332"/>
      <c r="R107" s="366">
        <f>+R106</f>
        <v>0</v>
      </c>
      <c r="S107" s="374" t="e">
        <f>+R107/$C$4</f>
        <v>#DIV/0!</v>
      </c>
      <c r="T107" s="304"/>
      <c r="U107" s="376"/>
      <c r="V107" s="150">
        <f>+V106</f>
        <v>0</v>
      </c>
      <c r="W107" s="246" t="e">
        <f>+V107/$C$4</f>
        <v>#DIV/0!</v>
      </c>
      <c r="X107" s="382"/>
      <c r="Y107" s="383" t="s">
        <v>484</v>
      </c>
    </row>
    <row r="108" spans="3:25" ht="9.6" customHeight="1" x14ac:dyDescent="0.3">
      <c r="C108" s="225"/>
      <c r="E108" s="318"/>
      <c r="F108" s="346"/>
      <c r="G108" s="307"/>
      <c r="H108" s="33"/>
      <c r="I108" s="33"/>
      <c r="J108" s="352"/>
      <c r="K108" s="347"/>
      <c r="L108" s="346"/>
      <c r="M108" s="352"/>
      <c r="N108" s="33"/>
      <c r="O108" s="33"/>
      <c r="P108" s="348"/>
      <c r="Q108" s="33"/>
      <c r="R108" s="369"/>
      <c r="S108" s="348"/>
      <c r="T108" s="304"/>
      <c r="U108" s="318"/>
      <c r="V108" s="307"/>
      <c r="X108" s="225"/>
      <c r="Y108" s="317"/>
    </row>
    <row r="109" spans="3:25" outlineLevel="1" x14ac:dyDescent="0.3">
      <c r="C109" s="225" t="s">
        <v>180</v>
      </c>
      <c r="E109" s="396" cm="1">
        <f t="array" ref="E109">+SUMPRODUCT('T-12 Inputs'!$D$105:$O$430*('T-12 Inputs'!$A$105:$A$430=C109))</f>
        <v>0</v>
      </c>
      <c r="F109" s="397" t="e">
        <f>+E109/$C$4</f>
        <v>#DIV/0!</v>
      </c>
      <c r="G109" s="307"/>
      <c r="H109" s="398" cm="1">
        <f t="array" ref="H109">+SUMPRODUCT('T-12 Inputs'!$J$105:$O$430*('T-12 Inputs'!$A$105:$A$430=C109))*2</f>
        <v>0</v>
      </c>
      <c r="I109" s="398" t="e">
        <f>+H109/$C$4</f>
        <v>#DIV/0!</v>
      </c>
      <c r="J109" s="352"/>
      <c r="K109" s="399" cm="1">
        <f t="array" ref="K109">+SUMPRODUCT('T-12 Inputs'!$M$105:$O$430*('T-12 Inputs'!$A$105:$A$430=C109))*4</f>
        <v>0</v>
      </c>
      <c r="L109" s="397" t="e">
        <f>+K109/$C$4</f>
        <v>#DIV/0!</v>
      </c>
      <c r="M109" s="352"/>
      <c r="N109" s="398" cm="1">
        <f t="array" ref="N109">+SUMPRODUCT('T-12 Inputs'!$O$105:$O$430*('T-12 Inputs'!$A$105:$A$430=C109))*12</f>
        <v>0</v>
      </c>
      <c r="O109" s="398" t="e">
        <f>+N109/$C$4</f>
        <v>#DIV/0!</v>
      </c>
      <c r="P109" s="348"/>
      <c r="Q109" s="33"/>
      <c r="R109" s="349"/>
      <c r="S109" s="348" t="e">
        <f>+R109/C4</f>
        <v>#DIV/0!</v>
      </c>
      <c r="T109" s="304"/>
      <c r="U109" s="318"/>
      <c r="V109" s="381">
        <f>E109</f>
        <v>0</v>
      </c>
      <c r="W109" s="33" t="e">
        <f>+V109/$C$4</f>
        <v>#DIV/0!</v>
      </c>
      <c r="X109" s="353"/>
      <c r="Y109" s="354" t="s">
        <v>484</v>
      </c>
    </row>
    <row r="110" spans="3:25" x14ac:dyDescent="0.3">
      <c r="C110" s="203" t="s">
        <v>191</v>
      </c>
      <c r="D110" s="204"/>
      <c r="E110" s="371">
        <f>+E109</f>
        <v>0</v>
      </c>
      <c r="F110" s="372" t="e">
        <f>+E110/$C$4</f>
        <v>#DIV/0!</v>
      </c>
      <c r="G110" s="329"/>
      <c r="H110" s="246">
        <f>+H109</f>
        <v>0</v>
      </c>
      <c r="I110" s="246" t="e">
        <f>+H110/$C$4</f>
        <v>#DIV/0!</v>
      </c>
      <c r="J110" s="368"/>
      <c r="K110" s="373">
        <f>+K109</f>
        <v>0</v>
      </c>
      <c r="L110" s="372" t="e">
        <f>+K110/$C$4</f>
        <v>#DIV/0!</v>
      </c>
      <c r="M110" s="368"/>
      <c r="N110" s="246">
        <f>+N109</f>
        <v>0</v>
      </c>
      <c r="O110" s="246" t="e">
        <f>+N110/$C$4</f>
        <v>#DIV/0!</v>
      </c>
      <c r="P110" s="374"/>
      <c r="Q110" s="332"/>
      <c r="R110" s="366">
        <f>+R109</f>
        <v>0</v>
      </c>
      <c r="S110" s="374" t="e">
        <f>+R110/$C$4</f>
        <v>#DIV/0!</v>
      </c>
      <c r="T110" s="304"/>
      <c r="U110" s="376"/>
      <c r="V110" s="150">
        <f>+V109</f>
        <v>0</v>
      </c>
      <c r="W110" s="402" t="e">
        <f>+V110/C4</f>
        <v>#DIV/0!</v>
      </c>
      <c r="X110" s="382"/>
      <c r="Y110" s="383" t="s">
        <v>484</v>
      </c>
    </row>
    <row r="111" spans="3:25" x14ac:dyDescent="0.3">
      <c r="C111" s="225"/>
      <c r="E111" s="318"/>
      <c r="F111" s="346"/>
      <c r="G111" s="307"/>
      <c r="H111" s="33"/>
      <c r="I111" s="33"/>
      <c r="J111" s="352"/>
      <c r="K111" s="347"/>
      <c r="L111" s="346"/>
      <c r="M111" s="352"/>
      <c r="N111" s="33"/>
      <c r="O111" s="33"/>
      <c r="P111" s="348"/>
      <c r="Q111" s="33"/>
      <c r="R111" s="369"/>
      <c r="S111" s="348"/>
      <c r="T111" s="304"/>
      <c r="U111" s="318"/>
      <c r="V111" s="307"/>
      <c r="X111" s="225"/>
      <c r="Y111" s="317"/>
    </row>
    <row r="112" spans="3:25" x14ac:dyDescent="0.3">
      <c r="C112" s="384" t="s">
        <v>192</v>
      </c>
      <c r="D112" s="385"/>
      <c r="E112" s="386">
        <f>+SUM(E60,E71,E77,E88,E98,E103,E107,E110)</f>
        <v>0</v>
      </c>
      <c r="F112" s="387" t="e">
        <f>+E112/$C$4</f>
        <v>#DIV/0!</v>
      </c>
      <c r="G112" s="307"/>
      <c r="H112" s="388">
        <f>+SUM(H60,H71,H77,H88,H98,H103,H107,H110)</f>
        <v>0</v>
      </c>
      <c r="I112" s="388" t="e">
        <f>+H112/$C$4</f>
        <v>#DIV/0!</v>
      </c>
      <c r="J112" s="307"/>
      <c r="K112" s="389">
        <f>+SUM(K60,K71,K77,K88,K98,K103,K107,K110)</f>
        <v>0</v>
      </c>
      <c r="L112" s="387" t="e">
        <f>+K112/$C$4</f>
        <v>#DIV/0!</v>
      </c>
      <c r="M112" s="307"/>
      <c r="N112" s="388">
        <f>+SUM(N60,N71,N77,N88,N98,N103,N107,N110)</f>
        <v>0</v>
      </c>
      <c r="O112" s="388" t="e">
        <f>+N112/$C$4</f>
        <v>#DIV/0!</v>
      </c>
      <c r="P112" s="374"/>
      <c r="Q112" s="332"/>
      <c r="R112" s="390">
        <f>+SUM(R60,R71,R77,R88,R98,R103,R107,R110)</f>
        <v>0</v>
      </c>
      <c r="S112" s="391" t="e">
        <f>+R112/$C$4</f>
        <v>#DIV/0!</v>
      </c>
      <c r="T112" s="304"/>
      <c r="U112" s="376"/>
      <c r="V112" s="392" t="e">
        <f>+SUM(V60,V71,V77,V88,V98,V103,V107,V110)</f>
        <v>#DIV/0!</v>
      </c>
      <c r="W112" s="388" t="e">
        <f>+V112/$C$4</f>
        <v>#DIV/0!</v>
      </c>
      <c r="X112" s="209"/>
      <c r="Y112" s="377"/>
    </row>
    <row r="113" spans="3:25" x14ac:dyDescent="0.3">
      <c r="C113" s="292" t="s">
        <v>195</v>
      </c>
      <c r="E113" s="418" t="e">
        <f>+E112/E50</f>
        <v>#DIV/0!</v>
      </c>
      <c r="F113" s="419"/>
      <c r="G113" s="420"/>
      <c r="H113" s="410" t="e">
        <f>+H112/H50</f>
        <v>#DIV/0!</v>
      </c>
      <c r="I113" s="151"/>
      <c r="J113" s="420"/>
      <c r="K113" s="413" t="e">
        <f>+K112/K50</f>
        <v>#DIV/0!</v>
      </c>
      <c r="L113" s="419"/>
      <c r="M113" s="420"/>
      <c r="N113" s="410" t="e">
        <f>+N112/N50</f>
        <v>#DIV/0!</v>
      </c>
      <c r="O113" s="33"/>
      <c r="P113" s="348"/>
      <c r="Q113" s="33"/>
      <c r="R113" s="421" t="e">
        <f>+R112/R50</f>
        <v>#DIV/0!</v>
      </c>
      <c r="S113" s="348"/>
      <c r="T113" s="304"/>
      <c r="U113" s="318"/>
      <c r="V113" s="417" t="e">
        <f>+V112/V50</f>
        <v>#DIV/0!</v>
      </c>
      <c r="X113" s="225"/>
      <c r="Y113" s="317"/>
    </row>
    <row r="114" spans="3:25" ht="3.6" customHeight="1" x14ac:dyDescent="0.3">
      <c r="C114" s="225"/>
      <c r="E114" s="318"/>
      <c r="F114" s="346"/>
      <c r="G114" s="307"/>
      <c r="I114" s="33"/>
      <c r="J114" s="307"/>
      <c r="K114" s="225"/>
      <c r="L114" s="346"/>
      <c r="M114" s="307"/>
      <c r="O114" s="332"/>
      <c r="P114" s="422"/>
      <c r="Q114" s="332"/>
      <c r="R114" s="380"/>
      <c r="S114" s="334"/>
      <c r="T114" s="304"/>
      <c r="U114" s="318"/>
      <c r="V114" s="307"/>
      <c r="X114" s="196"/>
      <c r="Y114" s="311"/>
    </row>
    <row r="115" spans="3:25" ht="14.4" thickBot="1" x14ac:dyDescent="0.35">
      <c r="C115" s="384" t="s">
        <v>193</v>
      </c>
      <c r="D115" s="385"/>
      <c r="E115" s="423">
        <f>+E50-E112</f>
        <v>0</v>
      </c>
      <c r="F115" s="424" t="e">
        <f>+E115/$C$4</f>
        <v>#DIV/0!</v>
      </c>
      <c r="G115" s="425"/>
      <c r="H115" s="426">
        <f>+H50-H112</f>
        <v>0</v>
      </c>
      <c r="I115" s="426" t="e">
        <f>+H115/$C$4</f>
        <v>#DIV/0!</v>
      </c>
      <c r="J115" s="425"/>
      <c r="K115" s="427">
        <f>+K50-K112</f>
        <v>0</v>
      </c>
      <c r="L115" s="424" t="e">
        <f>+K115/$C$4</f>
        <v>#DIV/0!</v>
      </c>
      <c r="M115" s="425"/>
      <c r="N115" s="426">
        <f>+N50-N112</f>
        <v>0</v>
      </c>
      <c r="O115" s="426" t="e">
        <f>+N115/$C$4</f>
        <v>#DIV/0!</v>
      </c>
      <c r="P115" s="428"/>
      <c r="Q115" s="332"/>
      <c r="R115" s="429">
        <f>+R50-R112</f>
        <v>0</v>
      </c>
      <c r="S115" s="430" t="e">
        <f>+R115/$C$4</f>
        <v>#DIV/0!</v>
      </c>
      <c r="T115" s="304"/>
      <c r="U115" s="431"/>
      <c r="V115" s="432" t="e">
        <f>+V50-V112</f>
        <v>#DIV/0!</v>
      </c>
      <c r="W115" s="426" t="e">
        <f>+V115/$C$4</f>
        <v>#DIV/0!</v>
      </c>
      <c r="X115" s="433"/>
      <c r="Y115" s="434"/>
    </row>
    <row r="116" spans="3:25" ht="6" hidden="1" customHeight="1" x14ac:dyDescent="0.3">
      <c r="C116" s="196"/>
      <c r="D116" s="238"/>
      <c r="E116" s="238"/>
      <c r="F116" s="238"/>
      <c r="G116" s="238"/>
      <c r="H116" s="238"/>
      <c r="I116" s="238"/>
      <c r="J116" s="238"/>
      <c r="K116" s="238"/>
      <c r="L116" s="238"/>
      <c r="M116" s="238"/>
      <c r="N116" s="238"/>
      <c r="O116" s="238"/>
      <c r="P116" s="238"/>
      <c r="Q116" s="238"/>
      <c r="R116" s="238"/>
      <c r="S116" s="238"/>
      <c r="T116" s="238"/>
      <c r="U116" s="238"/>
      <c r="V116" s="238"/>
      <c r="W116" s="238"/>
      <c r="X116" s="238"/>
      <c r="Y116" s="338"/>
    </row>
    <row r="117" spans="3:25" ht="14.4" thickTop="1" x14ac:dyDescent="0.3"/>
    <row r="118" spans="3:25" x14ac:dyDescent="0.3">
      <c r="E118" s="33"/>
      <c r="V118" s="33"/>
    </row>
    <row r="119" spans="3:25" x14ac:dyDescent="0.3">
      <c r="E119" s="33"/>
    </row>
  </sheetData>
  <mergeCells count="22">
    <mergeCell ref="W8:W9"/>
    <mergeCell ref="C52:D52"/>
    <mergeCell ref="C8:D8"/>
    <mergeCell ref="E8:E9"/>
    <mergeCell ref="F8:F9"/>
    <mergeCell ref="H8:H9"/>
    <mergeCell ref="X6:Y9"/>
    <mergeCell ref="E7:F7"/>
    <mergeCell ref="H7:I7"/>
    <mergeCell ref="K7:L7"/>
    <mergeCell ref="N7:O7"/>
    <mergeCell ref="L8:L9"/>
    <mergeCell ref="N8:N9"/>
    <mergeCell ref="I8:I9"/>
    <mergeCell ref="K8:K9"/>
    <mergeCell ref="E6:P6"/>
    <mergeCell ref="R6:S7"/>
    <mergeCell ref="U6:W7"/>
    <mergeCell ref="O8:O9"/>
    <mergeCell ref="R8:R9"/>
    <mergeCell ref="S8:S9"/>
    <mergeCell ref="V8:V9"/>
  </mergeCells>
  <pageMargins left="0.7" right="0.7" top="0.75" bottom="0.75" header="0.3" footer="0.3"/>
  <pageSetup paperSize="5" scale="51" orientation="landscape" r:id="rId1"/>
  <rowBreaks count="1" manualBreakCount="1">
    <brk id="51" max="16383" man="1"/>
  </rowBreaks>
  <extLst>
    <ext xmlns:x14="http://schemas.microsoft.com/office/spreadsheetml/2009/9/main" uri="{CCE6A557-97BC-4b89-ADB6-D9C93CAAB3DF}">
      <x14:dataValidations xmlns:xm="http://schemas.microsoft.com/office/excel/2006/main" count="5">
        <x14:dataValidation type="list" allowBlank="1" showInputMessage="1" showErrorMessage="1" xr:uid="{69792A0F-1C08-470C-8041-F8872A5290AF}">
          <x14:formula1>
            <xm:f>'OpStatement List - Dropdowns'!$I$5:$I$53</xm:f>
          </x14:formula1>
          <xm:sqref>C23:C47</xm:sqref>
        </x14:dataValidation>
        <x14:dataValidation type="list" allowBlank="1" showInputMessage="1" showErrorMessage="1" xr:uid="{EF16B75F-B245-480E-B1C8-E750009A4768}">
          <x14:formula1>
            <xm:f>'OpStatement List - Dropdowns'!$L$5:$L$11</xm:f>
          </x14:formula1>
          <xm:sqref>C54:C59</xm:sqref>
        </x14:dataValidation>
        <x14:dataValidation type="list" allowBlank="1" showInputMessage="1" showErrorMessage="1" xr:uid="{9B6D11F4-FFE0-40A7-8CD3-924DB5871C0B}">
          <x14:formula1>
            <xm:f>'OpStatement List - Dropdowns'!$L$13:$L$22</xm:f>
          </x14:formula1>
          <xm:sqref>C62:C70</xm:sqref>
        </x14:dataValidation>
        <x14:dataValidation type="list" allowBlank="1" showInputMessage="1" showErrorMessage="1" xr:uid="{E010AEED-2CB3-41FF-93B4-8DD6CC7790E6}">
          <x14:formula1>
            <xm:f>'OpStatement List - Dropdowns'!$L$31:$L$39</xm:f>
          </x14:formula1>
          <xm:sqref>C79:C87</xm:sqref>
        </x14:dataValidation>
        <x14:dataValidation type="list" allowBlank="1" showInputMessage="1" showErrorMessage="1" xr:uid="{AB1227DF-20B1-4DC6-B28E-97B457F27FF6}">
          <x14:formula1>
            <xm:f>'OpStatement List - Dropdowns'!$L$46:$L$53</xm:f>
          </x14:formula1>
          <xm:sqref>C90:C97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093A-CE1B-45D4-842D-EBFBF0798731}">
  <sheetPr>
    <tabColor rgb="FF47D359"/>
  </sheetPr>
  <dimension ref="C1:L121"/>
  <sheetViews>
    <sheetView topLeftCell="A4" workbookViewId="0">
      <selection activeCell="L14" sqref="L14"/>
    </sheetView>
  </sheetViews>
  <sheetFormatPr defaultColWidth="8.88671875" defaultRowHeight="13.8" outlineLevelRow="1" x14ac:dyDescent="0.3"/>
  <cols>
    <col min="1" max="1" width="8.88671875" style="3"/>
    <col min="2" max="2" width="5.5546875" style="3" bestFit="1" customWidth="1"/>
    <col min="3" max="3" width="31.33203125" style="3" customWidth="1"/>
    <col min="4" max="4" width="23.33203125" style="3" customWidth="1"/>
    <col min="5" max="5" width="16.109375" style="3" customWidth="1"/>
    <col min="6" max="6" width="17.5546875" style="3" customWidth="1"/>
    <col min="7" max="7" width="16.33203125" style="3" customWidth="1"/>
    <col min="8" max="8" width="16" style="3" customWidth="1"/>
    <col min="9" max="9" width="15.5546875" style="3" customWidth="1"/>
    <col min="10" max="10" width="16.109375" style="3" customWidth="1"/>
    <col min="11" max="12" width="12" style="3" bestFit="1" customWidth="1"/>
    <col min="13" max="16384" width="8.88671875" style="3"/>
  </cols>
  <sheetData>
    <row r="1" spans="3:12" hidden="1" x14ac:dyDescent="0.3"/>
    <row r="2" spans="3:12" hidden="1" x14ac:dyDescent="0.3"/>
    <row r="3" spans="3:12" hidden="1" x14ac:dyDescent="0.3"/>
    <row r="4" spans="3:12" x14ac:dyDescent="0.3">
      <c r="C4" s="162"/>
    </row>
    <row r="5" spans="3:12" x14ac:dyDescent="0.3">
      <c r="C5" s="671"/>
      <c r="D5" s="162"/>
    </row>
    <row r="6" spans="3:12" x14ac:dyDescent="0.3">
      <c r="C6" s="671"/>
      <c r="D6" s="203" t="s">
        <v>497</v>
      </c>
      <c r="E6" s="672"/>
      <c r="F6" s="678">
        <v>1.4999999999999999E-2</v>
      </c>
      <c r="G6" s="678">
        <v>0.02</v>
      </c>
      <c r="H6" s="678">
        <v>0.02</v>
      </c>
      <c r="I6" s="678">
        <v>1.4999999999999999E-2</v>
      </c>
      <c r="J6" s="679">
        <v>1.4999999999999999E-2</v>
      </c>
    </row>
    <row r="7" spans="3:12" x14ac:dyDescent="0.3">
      <c r="C7" s="671"/>
      <c r="D7" s="203" t="s">
        <v>498</v>
      </c>
      <c r="E7" s="672"/>
      <c r="F7" s="678">
        <v>7.0000000000000007E-2</v>
      </c>
      <c r="G7" s="678">
        <v>5.5E-2</v>
      </c>
      <c r="H7" s="678">
        <v>3.5000000000000003E-2</v>
      </c>
      <c r="I7" s="678">
        <v>0.02</v>
      </c>
      <c r="J7" s="679">
        <v>0.02</v>
      </c>
    </row>
    <row r="8" spans="3:12" x14ac:dyDescent="0.3">
      <c r="C8" s="671"/>
      <c r="D8" s="203" t="s">
        <v>499</v>
      </c>
      <c r="E8" s="672"/>
      <c r="F8" s="678">
        <v>7.0000000000000007E-2</v>
      </c>
      <c r="G8" s="678">
        <v>7.0000000000000007E-2</v>
      </c>
      <c r="H8" s="678">
        <v>7.0000000000000007E-2</v>
      </c>
      <c r="I8" s="678">
        <v>7.0000000000000007E-2</v>
      </c>
      <c r="J8" s="679">
        <v>7.0000000000000007E-2</v>
      </c>
    </row>
    <row r="9" spans="3:12" x14ac:dyDescent="0.3">
      <c r="C9" s="671"/>
      <c r="D9" s="203" t="s">
        <v>52</v>
      </c>
      <c r="E9" s="672"/>
      <c r="F9" s="678">
        <v>5.5E-2</v>
      </c>
      <c r="G9" s="678">
        <v>0.03</v>
      </c>
      <c r="H9" s="678">
        <v>0.02</v>
      </c>
      <c r="I9" s="678">
        <v>0.02</v>
      </c>
      <c r="J9" s="679">
        <v>0.02</v>
      </c>
      <c r="L9" s="33"/>
    </row>
    <row r="10" spans="3:12" x14ac:dyDescent="0.3">
      <c r="C10" s="673"/>
      <c r="D10" s="203" t="s">
        <v>500</v>
      </c>
      <c r="E10" s="672"/>
      <c r="F10" s="678">
        <v>1.2500000000000001E-2</v>
      </c>
      <c r="G10" s="678">
        <v>1.4999999999999999E-2</v>
      </c>
      <c r="H10" s="678">
        <v>1.4999999999999999E-2</v>
      </c>
      <c r="I10" s="678">
        <v>1.4999999999999999E-2</v>
      </c>
      <c r="J10" s="679">
        <v>1.4999999999999999E-2</v>
      </c>
    </row>
    <row r="11" spans="3:12" x14ac:dyDescent="0.3">
      <c r="C11" s="32"/>
      <c r="D11" s="203" t="s">
        <v>501</v>
      </c>
      <c r="E11" s="672"/>
      <c r="F11" s="678">
        <v>0.02</v>
      </c>
      <c r="G11" s="678">
        <v>0.02</v>
      </c>
      <c r="H11" s="678">
        <v>0.02</v>
      </c>
      <c r="I11" s="678">
        <v>0.02</v>
      </c>
      <c r="J11" s="679">
        <v>0.02</v>
      </c>
    </row>
    <row r="12" spans="3:12" x14ac:dyDescent="0.3">
      <c r="C12" s="32"/>
      <c r="E12" s="674"/>
      <c r="F12" s="675"/>
      <c r="G12" s="675"/>
      <c r="H12" s="675"/>
      <c r="I12" s="675"/>
    </row>
    <row r="13" spans="3:12" x14ac:dyDescent="0.3">
      <c r="G13" s="33"/>
    </row>
    <row r="14" spans="3:12" x14ac:dyDescent="0.3">
      <c r="E14" s="32" t="s">
        <v>75</v>
      </c>
      <c r="F14" s="55" t="s">
        <v>465</v>
      </c>
      <c r="G14" s="55" t="s">
        <v>466</v>
      </c>
      <c r="H14" s="55" t="s">
        <v>502</v>
      </c>
      <c r="I14" s="55" t="s">
        <v>503</v>
      </c>
      <c r="J14" s="55" t="s">
        <v>504</v>
      </c>
    </row>
    <row r="15" spans="3:12" x14ac:dyDescent="0.3">
      <c r="C15" s="213"/>
      <c r="D15" s="214"/>
      <c r="E15" s="700"/>
      <c r="F15" s="214"/>
      <c r="G15" s="214"/>
      <c r="H15" s="214"/>
      <c r="I15" s="214"/>
      <c r="J15" s="676"/>
    </row>
    <row r="16" spans="3:12" x14ac:dyDescent="0.3">
      <c r="C16" s="292" t="s">
        <v>223</v>
      </c>
      <c r="E16" s="701">
        <f>+'Proforma (Annual)'!E10</f>
        <v>0</v>
      </c>
      <c r="F16" s="35">
        <f>+E16*(1+F6)</f>
        <v>0</v>
      </c>
      <c r="G16" s="35">
        <f t="shared" ref="G16:J16" si="0">+F16*(1+G6)</f>
        <v>0</v>
      </c>
      <c r="H16" s="35">
        <f t="shared" si="0"/>
        <v>0</v>
      </c>
      <c r="I16" s="35">
        <f t="shared" si="0"/>
        <v>0</v>
      </c>
      <c r="J16" s="690">
        <f t="shared" si="0"/>
        <v>0</v>
      </c>
    </row>
    <row r="17" spans="3:12" ht="20.399999999999999" customHeight="1" x14ac:dyDescent="0.3">
      <c r="C17" s="225" t="s">
        <v>224</v>
      </c>
      <c r="E17" s="702">
        <f>+'Proforma (Annual)'!E11</f>
        <v>0</v>
      </c>
      <c r="F17" s="688">
        <f>+F16*-F7</f>
        <v>0</v>
      </c>
      <c r="G17" s="688">
        <f t="shared" ref="G17:J17" si="1">+G16*-G7</f>
        <v>0</v>
      </c>
      <c r="H17" s="688">
        <f t="shared" si="1"/>
        <v>0</v>
      </c>
      <c r="I17" s="688">
        <f t="shared" si="1"/>
        <v>0</v>
      </c>
      <c r="J17" s="691">
        <f t="shared" si="1"/>
        <v>0</v>
      </c>
    </row>
    <row r="18" spans="3:12" x14ac:dyDescent="0.3">
      <c r="C18" s="190" t="s">
        <v>215</v>
      </c>
      <c r="D18" s="235"/>
      <c r="E18" s="703">
        <f>+SUM(E16:E17)</f>
        <v>0</v>
      </c>
      <c r="F18" s="680">
        <f t="shared" ref="F18:J18" si="2">+SUM(F16:F17)</f>
        <v>0</v>
      </c>
      <c r="G18" s="680">
        <f t="shared" si="2"/>
        <v>0</v>
      </c>
      <c r="H18" s="680">
        <f t="shared" si="2"/>
        <v>0</v>
      </c>
      <c r="I18" s="680">
        <f t="shared" si="2"/>
        <v>0</v>
      </c>
      <c r="J18" s="698">
        <f t="shared" si="2"/>
        <v>0</v>
      </c>
    </row>
    <row r="19" spans="3:12" x14ac:dyDescent="0.3">
      <c r="C19" s="196"/>
      <c r="D19" s="238"/>
      <c r="E19" s="702"/>
      <c r="F19" s="688"/>
      <c r="G19" s="688"/>
      <c r="H19" s="688"/>
      <c r="I19" s="688"/>
      <c r="J19" s="691"/>
    </row>
    <row r="20" spans="3:12" x14ac:dyDescent="0.3">
      <c r="C20" s="225" t="s">
        <v>55</v>
      </c>
      <c r="E20" s="701">
        <f>+'Proforma (Annual)'!E14</f>
        <v>0</v>
      </c>
      <c r="F20" s="35">
        <f>+F18*-F8</f>
        <v>0</v>
      </c>
      <c r="G20" s="35">
        <f t="shared" ref="G20:J20" si="3">+G18*-G8</f>
        <v>0</v>
      </c>
      <c r="H20" s="35">
        <f t="shared" si="3"/>
        <v>0</v>
      </c>
      <c r="I20" s="35">
        <f t="shared" si="3"/>
        <v>0</v>
      </c>
      <c r="J20" s="699">
        <f t="shared" si="3"/>
        <v>0</v>
      </c>
    </row>
    <row r="21" spans="3:12" x14ac:dyDescent="0.3">
      <c r="C21" s="225" t="s">
        <v>52</v>
      </c>
      <c r="E21" s="701">
        <f>+'Proforma (Annual)'!E16</f>
        <v>0</v>
      </c>
      <c r="F21" s="35">
        <f>+F18*-F9</f>
        <v>0</v>
      </c>
      <c r="G21" s="35">
        <f t="shared" ref="G21:J21" si="4">+G18*-G9</f>
        <v>0</v>
      </c>
      <c r="H21" s="35">
        <f t="shared" si="4"/>
        <v>0</v>
      </c>
      <c r="I21" s="35">
        <f t="shared" si="4"/>
        <v>0</v>
      </c>
      <c r="J21" s="690">
        <f t="shared" si="4"/>
        <v>0</v>
      </c>
    </row>
    <row r="22" spans="3:12" ht="16.2" customHeight="1" x14ac:dyDescent="0.3">
      <c r="C22" s="225" t="s">
        <v>56</v>
      </c>
      <c r="E22" s="701">
        <f>+'Proforma (Annual)'!E17</f>
        <v>0</v>
      </c>
      <c r="F22" s="35">
        <f>0.005*-F18</f>
        <v>0</v>
      </c>
      <c r="G22" s="35">
        <f t="shared" ref="G22:J22" si="5">0.005*-G18</f>
        <v>0</v>
      </c>
      <c r="H22" s="35">
        <f t="shared" si="5"/>
        <v>0</v>
      </c>
      <c r="I22" s="35">
        <f t="shared" si="5"/>
        <v>0</v>
      </c>
      <c r="J22" s="690">
        <f t="shared" si="5"/>
        <v>0</v>
      </c>
      <c r="L22" s="3" t="s">
        <v>505</v>
      </c>
    </row>
    <row r="23" spans="3:12" ht="18.600000000000001" customHeight="1" x14ac:dyDescent="0.3">
      <c r="C23" s="196" t="s">
        <v>226</v>
      </c>
      <c r="D23" s="238"/>
      <c r="E23" s="702">
        <f>+'Proforma (Annual)'!E18</f>
        <v>0</v>
      </c>
      <c r="F23" s="689">
        <f>+E23*(1+F6)</f>
        <v>0</v>
      </c>
      <c r="G23" s="689">
        <f>+F23*(1+G6)</f>
        <v>0</v>
      </c>
      <c r="H23" s="689">
        <f>+G23*(1+H6)</f>
        <v>0</v>
      </c>
      <c r="I23" s="689">
        <f>+H23*(1+I6)</f>
        <v>0</v>
      </c>
      <c r="J23" s="692">
        <f>+I23*(1+J6)</f>
        <v>0</v>
      </c>
    </row>
    <row r="24" spans="3:12" x14ac:dyDescent="0.3">
      <c r="C24" s="292" t="s">
        <v>198</v>
      </c>
      <c r="E24" s="703">
        <f>+SUM(E20:E23)</f>
        <v>0</v>
      </c>
      <c r="F24" s="680">
        <f t="shared" ref="F24:J24" si="6">+SUM(F20:F23)</f>
        <v>0</v>
      </c>
      <c r="G24" s="680">
        <f t="shared" si="6"/>
        <v>0</v>
      </c>
      <c r="H24" s="680">
        <f t="shared" si="6"/>
        <v>0</v>
      </c>
      <c r="I24" s="680">
        <f t="shared" si="6"/>
        <v>0</v>
      </c>
      <c r="J24" s="698">
        <f t="shared" si="6"/>
        <v>0</v>
      </c>
    </row>
    <row r="25" spans="3:12" ht="18" customHeight="1" x14ac:dyDescent="0.3">
      <c r="C25" s="225"/>
      <c r="E25" s="701"/>
      <c r="F25" s="35"/>
      <c r="G25" s="35"/>
      <c r="H25" s="35"/>
      <c r="I25" s="35"/>
      <c r="J25" s="690"/>
    </row>
    <row r="26" spans="3:12" x14ac:dyDescent="0.3">
      <c r="C26" s="203" t="s">
        <v>216</v>
      </c>
      <c r="D26" s="204"/>
      <c r="E26" s="704">
        <f>+SUM(E18,E24)</f>
        <v>0</v>
      </c>
      <c r="F26" s="684">
        <f t="shared" ref="F26:J26" si="7">+SUM(F18,F24)</f>
        <v>0</v>
      </c>
      <c r="G26" s="684">
        <f t="shared" si="7"/>
        <v>0</v>
      </c>
      <c r="H26" s="684">
        <f t="shared" si="7"/>
        <v>0</v>
      </c>
      <c r="I26" s="684">
        <f t="shared" si="7"/>
        <v>0</v>
      </c>
      <c r="J26" s="685">
        <f t="shared" si="7"/>
        <v>0</v>
      </c>
    </row>
    <row r="27" spans="3:12" ht="13.2" customHeight="1" outlineLevel="1" x14ac:dyDescent="0.3">
      <c r="C27" s="225"/>
      <c r="E27" s="701"/>
      <c r="F27" s="35"/>
      <c r="G27" s="35"/>
      <c r="H27" s="35"/>
      <c r="I27" s="35"/>
      <c r="J27" s="690"/>
    </row>
    <row r="28" spans="3:12" outlineLevel="1" x14ac:dyDescent="0.3">
      <c r="C28" s="225" t="str">
        <f>+'Proforma (Annual)'!C23</f>
        <v>Administrative Fees</v>
      </c>
      <c r="E28" s="701">
        <f>+'Proforma (Annual)'!E23</f>
        <v>0</v>
      </c>
      <c r="F28" s="35">
        <f>+E28*(1+$F$10)</f>
        <v>0</v>
      </c>
      <c r="G28" s="35">
        <f>+F28*(1+$G$10)</f>
        <v>0</v>
      </c>
      <c r="H28" s="35">
        <f>+G28*(1+$H$10)</f>
        <v>0</v>
      </c>
      <c r="I28" s="35">
        <f>+H28*(1+$I$10)</f>
        <v>0</v>
      </c>
      <c r="J28" s="690">
        <f>+I28*(1+$J$10)</f>
        <v>0</v>
      </c>
    </row>
    <row r="29" spans="3:12" outlineLevel="1" x14ac:dyDescent="0.3">
      <c r="C29" s="225" t="str">
        <f>+'Proforma (Annual)'!C24</f>
        <v>Amenity Fee</v>
      </c>
      <c r="E29" s="701">
        <f>+'Proforma (Annual)'!E24</f>
        <v>0</v>
      </c>
      <c r="F29" s="35">
        <f t="shared" ref="F29:F40" si="8">+E29*(1+$F$10)</f>
        <v>0</v>
      </c>
      <c r="G29" s="35">
        <f t="shared" ref="G29:G44" si="9">+F29*(1+$G$10)</f>
        <v>0</v>
      </c>
      <c r="H29" s="35">
        <f t="shared" ref="H29:H44" si="10">+G29*(1+$H$10)</f>
        <v>0</v>
      </c>
      <c r="I29" s="35">
        <f t="shared" ref="I29:I44" si="11">+H29*(1+$I$10)</f>
        <v>0</v>
      </c>
      <c r="J29" s="690">
        <f t="shared" ref="J29:J44" si="12">+I29*(1+$J$10)</f>
        <v>0</v>
      </c>
    </row>
    <row r="30" spans="3:12" outlineLevel="1" x14ac:dyDescent="0.3">
      <c r="C30" s="225" t="str">
        <f>+'Proforma (Annual)'!C25</f>
        <v>Application Fees</v>
      </c>
      <c r="E30" s="701">
        <f>+'Proforma (Annual)'!E25</f>
        <v>0</v>
      </c>
      <c r="F30" s="35">
        <f t="shared" si="8"/>
        <v>0</v>
      </c>
      <c r="G30" s="35">
        <f t="shared" si="9"/>
        <v>0</v>
      </c>
      <c r="H30" s="35">
        <f t="shared" si="10"/>
        <v>0</v>
      </c>
      <c r="I30" s="35">
        <f t="shared" si="11"/>
        <v>0</v>
      </c>
      <c r="J30" s="690">
        <f t="shared" si="12"/>
        <v>0</v>
      </c>
    </row>
    <row r="31" spans="3:12" outlineLevel="1" x14ac:dyDescent="0.3">
      <c r="C31" s="225" t="str">
        <f>+'Proforma (Annual)'!C26</f>
        <v>Cable Income</v>
      </c>
      <c r="E31" s="701">
        <f>+'Proforma (Annual)'!E26</f>
        <v>0</v>
      </c>
      <c r="F31" s="35">
        <f t="shared" si="8"/>
        <v>0</v>
      </c>
      <c r="G31" s="35">
        <f t="shared" si="9"/>
        <v>0</v>
      </c>
      <c r="H31" s="35">
        <f t="shared" si="10"/>
        <v>0</v>
      </c>
      <c r="I31" s="35">
        <f t="shared" si="11"/>
        <v>0</v>
      </c>
      <c r="J31" s="690">
        <f t="shared" si="12"/>
        <v>0</v>
      </c>
    </row>
    <row r="32" spans="3:12" outlineLevel="1" x14ac:dyDescent="0.3">
      <c r="C32" s="225" t="str">
        <f>+'Proforma (Annual)'!C27</f>
        <v>Cleaning/R&amp;M</v>
      </c>
      <c r="E32" s="701">
        <f>+'Proforma (Annual)'!E27</f>
        <v>0</v>
      </c>
      <c r="F32" s="35">
        <f t="shared" si="8"/>
        <v>0</v>
      </c>
      <c r="G32" s="35">
        <f t="shared" si="9"/>
        <v>0</v>
      </c>
      <c r="H32" s="35">
        <f t="shared" si="10"/>
        <v>0</v>
      </c>
      <c r="I32" s="35">
        <f t="shared" si="11"/>
        <v>0</v>
      </c>
      <c r="J32" s="690">
        <f t="shared" si="12"/>
        <v>0</v>
      </c>
    </row>
    <row r="33" spans="3:10" outlineLevel="1" x14ac:dyDescent="0.3">
      <c r="C33" s="225" t="str">
        <f>+'Proforma (Annual)'!C28</f>
        <v>Commercial Income</v>
      </c>
      <c r="E33" s="701">
        <f>+'Proforma (Annual)'!E28</f>
        <v>0</v>
      </c>
      <c r="F33" s="35">
        <f t="shared" si="8"/>
        <v>0</v>
      </c>
      <c r="G33" s="35">
        <f t="shared" si="9"/>
        <v>0</v>
      </c>
      <c r="H33" s="35">
        <f t="shared" si="10"/>
        <v>0</v>
      </c>
      <c r="I33" s="35">
        <f t="shared" si="11"/>
        <v>0</v>
      </c>
      <c r="J33" s="690">
        <f t="shared" si="12"/>
        <v>0</v>
      </c>
    </row>
    <row r="34" spans="3:10" outlineLevel="1" x14ac:dyDescent="0.3">
      <c r="C34" s="225" t="str">
        <f>+'Proforma (Annual)'!C29</f>
        <v>Damages/Eviction Fees</v>
      </c>
      <c r="E34" s="701">
        <f>+'Proforma (Annual)'!E29</f>
        <v>0</v>
      </c>
      <c r="F34" s="35">
        <f t="shared" si="8"/>
        <v>0</v>
      </c>
      <c r="G34" s="35">
        <f t="shared" si="9"/>
        <v>0</v>
      </c>
      <c r="H34" s="35">
        <f t="shared" si="10"/>
        <v>0</v>
      </c>
      <c r="I34" s="35">
        <f t="shared" si="11"/>
        <v>0</v>
      </c>
      <c r="J34" s="690">
        <f t="shared" si="12"/>
        <v>0</v>
      </c>
    </row>
    <row r="35" spans="3:10" outlineLevel="1" x14ac:dyDescent="0.3">
      <c r="C35" s="225" t="str">
        <f>+'Proforma (Annual)'!C30</f>
        <v>Guest Suite Income</v>
      </c>
      <c r="E35" s="701">
        <f>+'Proforma (Annual)'!E30</f>
        <v>0</v>
      </c>
      <c r="F35" s="35">
        <f t="shared" si="8"/>
        <v>0</v>
      </c>
      <c r="G35" s="35">
        <f t="shared" si="9"/>
        <v>0</v>
      </c>
      <c r="H35" s="35">
        <f t="shared" si="10"/>
        <v>0</v>
      </c>
      <c r="I35" s="35">
        <f t="shared" si="11"/>
        <v>0</v>
      </c>
      <c r="J35" s="690">
        <f t="shared" si="12"/>
        <v>0</v>
      </c>
    </row>
    <row r="36" spans="3:10" outlineLevel="1" x14ac:dyDescent="0.3">
      <c r="C36" s="225" t="str">
        <f>+'Proforma (Annual)'!C31</f>
        <v>Late Charges</v>
      </c>
      <c r="E36" s="701">
        <f>+'Proforma (Annual)'!E31</f>
        <v>0</v>
      </c>
      <c r="F36" s="35">
        <f t="shared" si="8"/>
        <v>0</v>
      </c>
      <c r="G36" s="35">
        <f t="shared" ref="G36:G41" si="13">+F36*(1+$G$10)</f>
        <v>0</v>
      </c>
      <c r="H36" s="35">
        <f t="shared" si="10"/>
        <v>0</v>
      </c>
      <c r="I36" s="35">
        <f t="shared" si="11"/>
        <v>0</v>
      </c>
      <c r="J36" s="690">
        <f t="shared" si="12"/>
        <v>0</v>
      </c>
    </row>
    <row r="37" spans="3:10" outlineLevel="1" x14ac:dyDescent="0.3">
      <c r="C37" s="225" t="str">
        <f>+'Proforma (Annual)'!C32</f>
        <v>Legal Reimbursement</v>
      </c>
      <c r="E37" s="701">
        <f>+'Proforma (Annual)'!E32</f>
        <v>0</v>
      </c>
      <c r="F37" s="35">
        <f t="shared" si="8"/>
        <v>0</v>
      </c>
      <c r="G37" s="35">
        <f t="shared" si="13"/>
        <v>0</v>
      </c>
      <c r="H37" s="35">
        <f t="shared" si="10"/>
        <v>0</v>
      </c>
      <c r="I37" s="35">
        <f t="shared" si="11"/>
        <v>0</v>
      </c>
      <c r="J37" s="690">
        <f t="shared" si="12"/>
        <v>0</v>
      </c>
    </row>
    <row r="38" spans="3:10" outlineLevel="1" x14ac:dyDescent="0.3">
      <c r="C38" s="225" t="str">
        <f>+'Proforma (Annual)'!C33</f>
        <v>Liability Insurance</v>
      </c>
      <c r="E38" s="701">
        <f>+'Proforma (Annual)'!E33</f>
        <v>0</v>
      </c>
      <c r="F38" s="35">
        <f t="shared" si="8"/>
        <v>0</v>
      </c>
      <c r="G38" s="35">
        <f t="shared" si="13"/>
        <v>0</v>
      </c>
      <c r="H38" s="35">
        <f t="shared" si="10"/>
        <v>0</v>
      </c>
      <c r="I38" s="35">
        <f t="shared" si="11"/>
        <v>0</v>
      </c>
      <c r="J38" s="690">
        <f t="shared" si="12"/>
        <v>0</v>
      </c>
    </row>
    <row r="39" spans="3:10" outlineLevel="1" x14ac:dyDescent="0.3">
      <c r="C39" s="225" t="str">
        <f>+'Proforma (Annual)'!C34</f>
        <v>MTM Fees</v>
      </c>
      <c r="E39" s="701">
        <f>+'Proforma (Annual)'!E34</f>
        <v>0</v>
      </c>
      <c r="F39" s="35">
        <f t="shared" si="8"/>
        <v>0</v>
      </c>
      <c r="G39" s="35">
        <f t="shared" si="13"/>
        <v>0</v>
      </c>
      <c r="H39" s="35">
        <f t="shared" si="10"/>
        <v>0</v>
      </c>
      <c r="I39" s="35">
        <f t="shared" si="11"/>
        <v>0</v>
      </c>
      <c r="J39" s="690">
        <f t="shared" si="12"/>
        <v>0</v>
      </c>
    </row>
    <row r="40" spans="3:10" outlineLevel="1" x14ac:dyDescent="0.3">
      <c r="C40" s="225" t="str">
        <f>+'Proforma (Annual)'!C35</f>
        <v>NSF Fees</v>
      </c>
      <c r="E40" s="701">
        <f>+'Proforma (Annual)'!E35</f>
        <v>0</v>
      </c>
      <c r="F40" s="35">
        <f t="shared" si="8"/>
        <v>0</v>
      </c>
      <c r="G40" s="35">
        <f t="shared" si="13"/>
        <v>0</v>
      </c>
      <c r="H40" s="35">
        <f t="shared" si="10"/>
        <v>0</v>
      </c>
      <c r="I40" s="35">
        <f t="shared" si="11"/>
        <v>0</v>
      </c>
      <c r="J40" s="690">
        <f t="shared" si="12"/>
        <v>0</v>
      </c>
    </row>
    <row r="41" spans="3:10" outlineLevel="1" x14ac:dyDescent="0.3">
      <c r="C41" s="225" t="str">
        <f>+'Proforma (Annual)'!C36</f>
        <v>Other Income</v>
      </c>
      <c r="E41" s="701">
        <f>+'Proforma (Annual)'!E36</f>
        <v>0</v>
      </c>
      <c r="F41" s="35">
        <f t="shared" ref="F41:F51" si="14">+E41*(1+$F$10)</f>
        <v>0</v>
      </c>
      <c r="G41" s="35">
        <f t="shared" si="13"/>
        <v>0</v>
      </c>
      <c r="H41" s="35">
        <f t="shared" si="10"/>
        <v>0</v>
      </c>
      <c r="I41" s="35">
        <f t="shared" si="11"/>
        <v>0</v>
      </c>
      <c r="J41" s="690">
        <f t="shared" si="12"/>
        <v>0</v>
      </c>
    </row>
    <row r="42" spans="3:10" outlineLevel="1" x14ac:dyDescent="0.3">
      <c r="C42" s="225" t="str">
        <f>+'Proforma (Annual)'!C37</f>
        <v>Package Fees</v>
      </c>
      <c r="E42" s="701">
        <f>+'Proforma (Annual)'!E37</f>
        <v>0</v>
      </c>
      <c r="F42" s="35">
        <f t="shared" si="14"/>
        <v>0</v>
      </c>
      <c r="G42" s="35">
        <f t="shared" si="9"/>
        <v>0</v>
      </c>
      <c r="H42" s="35">
        <f t="shared" si="10"/>
        <v>0</v>
      </c>
      <c r="I42" s="35">
        <f t="shared" si="11"/>
        <v>0</v>
      </c>
      <c r="J42" s="690">
        <f t="shared" si="12"/>
        <v>0</v>
      </c>
    </row>
    <row r="43" spans="3:10" outlineLevel="1" x14ac:dyDescent="0.3">
      <c r="C43" s="225" t="str">
        <f>+'Proforma (Annual)'!C38</f>
        <v>Parking</v>
      </c>
      <c r="E43" s="701">
        <f>+'Proforma (Annual)'!E38</f>
        <v>0</v>
      </c>
      <c r="F43" s="35">
        <f t="shared" si="14"/>
        <v>0</v>
      </c>
      <c r="G43" s="35">
        <f t="shared" si="9"/>
        <v>0</v>
      </c>
      <c r="H43" s="35">
        <f t="shared" si="10"/>
        <v>0</v>
      </c>
      <c r="I43" s="35">
        <f t="shared" si="11"/>
        <v>0</v>
      </c>
      <c r="J43" s="690">
        <f t="shared" si="12"/>
        <v>0</v>
      </c>
    </row>
    <row r="44" spans="3:10" outlineLevel="1" x14ac:dyDescent="0.3">
      <c r="C44" s="225" t="str">
        <f>+'Proforma (Annual)'!C39</f>
        <v>Pest</v>
      </c>
      <c r="E44" s="701">
        <f>+'Proforma (Annual)'!E39</f>
        <v>0</v>
      </c>
      <c r="F44" s="35">
        <f t="shared" si="14"/>
        <v>0</v>
      </c>
      <c r="G44" s="35">
        <f t="shared" si="9"/>
        <v>0</v>
      </c>
      <c r="H44" s="35">
        <f t="shared" si="10"/>
        <v>0</v>
      </c>
      <c r="I44" s="35">
        <f t="shared" si="11"/>
        <v>0</v>
      </c>
      <c r="J44" s="690">
        <f t="shared" si="12"/>
        <v>0</v>
      </c>
    </row>
    <row r="45" spans="3:10" outlineLevel="1" x14ac:dyDescent="0.3">
      <c r="C45" s="225" t="str">
        <f>+'Proforma (Annual)'!C40</f>
        <v>Pet</v>
      </c>
      <c r="E45" s="701">
        <f>+'Proforma (Annual)'!E40</f>
        <v>0</v>
      </c>
      <c r="F45" s="35">
        <f t="shared" si="14"/>
        <v>0</v>
      </c>
      <c r="G45" s="35">
        <f t="shared" ref="G45:G52" si="15">+F45*(1+$G$10)</f>
        <v>0</v>
      </c>
      <c r="H45" s="35">
        <f t="shared" ref="H45:H52" si="16">+G45*(1+$H$10)</f>
        <v>0</v>
      </c>
      <c r="I45" s="35">
        <f t="shared" ref="I45:I52" si="17">+H45*(1+$I$10)</f>
        <v>0</v>
      </c>
      <c r="J45" s="690">
        <f t="shared" ref="J45:J52" si="18">+I45*(1+$J$10)</f>
        <v>0</v>
      </c>
    </row>
    <row r="46" spans="3:10" outlineLevel="1" x14ac:dyDescent="0.3">
      <c r="C46" s="225" t="str">
        <f>+'Proforma (Annual)'!C41</f>
        <v>Resident Service Fee</v>
      </c>
      <c r="E46" s="701">
        <f>+'Proforma (Annual)'!E41</f>
        <v>0</v>
      </c>
      <c r="F46" s="35">
        <f t="shared" si="14"/>
        <v>0</v>
      </c>
      <c r="G46" s="35">
        <f t="shared" si="15"/>
        <v>0</v>
      </c>
      <c r="H46" s="35">
        <f t="shared" si="16"/>
        <v>0</v>
      </c>
      <c r="I46" s="35">
        <f t="shared" si="17"/>
        <v>0</v>
      </c>
      <c r="J46" s="690">
        <f t="shared" si="18"/>
        <v>0</v>
      </c>
    </row>
    <row r="47" spans="3:10" outlineLevel="1" x14ac:dyDescent="0.3">
      <c r="C47" s="225" t="str">
        <f>+'Proforma (Annual)'!C42</f>
        <v>Storage</v>
      </c>
      <c r="E47" s="701">
        <f>+'Proforma (Annual)'!E42</f>
        <v>0</v>
      </c>
      <c r="F47" s="35">
        <f t="shared" si="14"/>
        <v>0</v>
      </c>
      <c r="G47" s="35">
        <f t="shared" si="15"/>
        <v>0</v>
      </c>
      <c r="H47" s="35">
        <f t="shared" si="16"/>
        <v>0</v>
      </c>
      <c r="I47" s="35">
        <f t="shared" si="17"/>
        <v>0</v>
      </c>
      <c r="J47" s="690">
        <f t="shared" si="18"/>
        <v>0</v>
      </c>
    </row>
    <row r="48" spans="3:10" outlineLevel="1" x14ac:dyDescent="0.3">
      <c r="C48" s="225" t="str">
        <f>+'Proforma (Annual)'!C43</f>
        <v>Tech Package</v>
      </c>
      <c r="E48" s="701">
        <f>+'Proforma (Annual)'!E43</f>
        <v>0</v>
      </c>
      <c r="F48" s="35">
        <f t="shared" si="14"/>
        <v>0</v>
      </c>
      <c r="G48" s="35">
        <f t="shared" si="15"/>
        <v>0</v>
      </c>
      <c r="H48" s="35">
        <f t="shared" si="16"/>
        <v>0</v>
      </c>
      <c r="I48" s="35">
        <f t="shared" si="17"/>
        <v>0</v>
      </c>
      <c r="J48" s="690">
        <f t="shared" si="18"/>
        <v>0</v>
      </c>
    </row>
    <row r="49" spans="3:10" outlineLevel="1" x14ac:dyDescent="0.3">
      <c r="C49" s="225" t="str">
        <f>+'Proforma (Annual)'!C44</f>
        <v>Termination/Transfer Fees</v>
      </c>
      <c r="E49" s="701">
        <f>+'Proforma (Annual)'!E44</f>
        <v>0</v>
      </c>
      <c r="F49" s="35">
        <f t="shared" si="14"/>
        <v>0</v>
      </c>
      <c r="G49" s="35">
        <f t="shared" si="15"/>
        <v>0</v>
      </c>
      <c r="H49" s="35">
        <f t="shared" si="16"/>
        <v>0</v>
      </c>
      <c r="I49" s="35">
        <f t="shared" si="17"/>
        <v>0</v>
      </c>
      <c r="J49" s="690">
        <f t="shared" si="18"/>
        <v>0</v>
      </c>
    </row>
    <row r="50" spans="3:10" outlineLevel="1" x14ac:dyDescent="0.3">
      <c r="C50" s="225" t="str">
        <f>+'Proforma (Annual)'!C45</f>
        <v>Trash</v>
      </c>
      <c r="E50" s="701">
        <f>+'Proforma (Annual)'!E45</f>
        <v>0</v>
      </c>
      <c r="F50" s="35">
        <f t="shared" si="14"/>
        <v>0</v>
      </c>
      <c r="G50" s="35">
        <f t="shared" si="15"/>
        <v>0</v>
      </c>
      <c r="H50" s="35">
        <f t="shared" si="16"/>
        <v>0</v>
      </c>
      <c r="I50" s="35">
        <f t="shared" si="17"/>
        <v>0</v>
      </c>
      <c r="J50" s="690">
        <f t="shared" si="18"/>
        <v>0</v>
      </c>
    </row>
    <row r="51" spans="3:10" outlineLevel="1" x14ac:dyDescent="0.3">
      <c r="C51" s="225" t="str">
        <f>+'Proforma (Annual)'!C46</f>
        <v>Utility Reimbursement</v>
      </c>
      <c r="E51" s="701">
        <f>+'Proforma (Annual)'!E46</f>
        <v>0</v>
      </c>
      <c r="F51" s="35">
        <f t="shared" si="14"/>
        <v>0</v>
      </c>
      <c r="G51" s="35">
        <f t="shared" si="15"/>
        <v>0</v>
      </c>
      <c r="H51" s="35">
        <f t="shared" si="16"/>
        <v>0</v>
      </c>
      <c r="I51" s="35">
        <f t="shared" si="17"/>
        <v>0</v>
      </c>
      <c r="J51" s="690">
        <f t="shared" si="18"/>
        <v>0</v>
      </c>
    </row>
    <row r="52" spans="3:10" outlineLevel="1" x14ac:dyDescent="0.3">
      <c r="C52" s="225" t="str">
        <f>+'Proforma (Annual)'!C47</f>
        <v>Valet Income</v>
      </c>
      <c r="E52" s="701">
        <f>+'Proforma (Annual)'!E47</f>
        <v>0</v>
      </c>
      <c r="F52" s="35">
        <f t="shared" ref="F52" si="19">+E52*(1+$F$10)</f>
        <v>0</v>
      </c>
      <c r="G52" s="35">
        <f t="shared" si="15"/>
        <v>0</v>
      </c>
      <c r="H52" s="35">
        <f t="shared" si="16"/>
        <v>0</v>
      </c>
      <c r="I52" s="35">
        <f t="shared" si="17"/>
        <v>0</v>
      </c>
      <c r="J52" s="690">
        <f t="shared" si="18"/>
        <v>0</v>
      </c>
    </row>
    <row r="53" spans="3:10" ht="2.4" customHeight="1" x14ac:dyDescent="0.3">
      <c r="C53" s="225"/>
      <c r="E53" s="701"/>
      <c r="F53" s="35"/>
      <c r="G53" s="35"/>
      <c r="H53" s="35"/>
      <c r="I53" s="35"/>
      <c r="J53" s="690"/>
    </row>
    <row r="54" spans="3:10" x14ac:dyDescent="0.3">
      <c r="C54" s="203" t="s">
        <v>73</v>
      </c>
      <c r="D54" s="204"/>
      <c r="E54" s="705">
        <f t="shared" ref="E54:J54" si="20">+SUM(E28:E53)</f>
        <v>0</v>
      </c>
      <c r="F54" s="686">
        <f t="shared" si="20"/>
        <v>0</v>
      </c>
      <c r="G54" s="686">
        <f t="shared" si="20"/>
        <v>0</v>
      </c>
      <c r="H54" s="686">
        <f t="shared" si="20"/>
        <v>0</v>
      </c>
      <c r="I54" s="686">
        <f t="shared" si="20"/>
        <v>0</v>
      </c>
      <c r="J54" s="687">
        <f t="shared" si="20"/>
        <v>0</v>
      </c>
    </row>
    <row r="55" spans="3:10" ht="12" customHeight="1" x14ac:dyDescent="0.3">
      <c r="C55" s="225"/>
      <c r="E55" s="701"/>
      <c r="F55" s="35"/>
      <c r="G55" s="35"/>
      <c r="H55" s="35"/>
      <c r="I55" s="35"/>
      <c r="J55" s="690"/>
    </row>
    <row r="56" spans="3:10" x14ac:dyDescent="0.3">
      <c r="C56" s="384" t="s">
        <v>217</v>
      </c>
      <c r="D56" s="385"/>
      <c r="E56" s="705">
        <f t="shared" ref="E56:J56" si="21">+SUM(E26,E54)</f>
        <v>0</v>
      </c>
      <c r="F56" s="693">
        <f t="shared" si="21"/>
        <v>0</v>
      </c>
      <c r="G56" s="693">
        <f t="shared" si="21"/>
        <v>0</v>
      </c>
      <c r="H56" s="693">
        <f t="shared" si="21"/>
        <v>0</v>
      </c>
      <c r="I56" s="693">
        <f t="shared" si="21"/>
        <v>0</v>
      </c>
      <c r="J56" s="694">
        <f t="shared" si="21"/>
        <v>0</v>
      </c>
    </row>
    <row r="57" spans="3:10" ht="8.4" customHeight="1" x14ac:dyDescent="0.3">
      <c r="C57" s="225"/>
      <c r="E57" s="701"/>
      <c r="F57" s="35"/>
      <c r="G57" s="35"/>
      <c r="H57" s="35"/>
      <c r="I57" s="35"/>
      <c r="J57" s="690"/>
    </row>
    <row r="58" spans="3:10" x14ac:dyDescent="0.3">
      <c r="C58" s="748" t="s">
        <v>76</v>
      </c>
      <c r="D58" s="747"/>
      <c r="E58" s="704"/>
      <c r="F58" s="684"/>
      <c r="G58" s="684"/>
      <c r="H58" s="684"/>
      <c r="I58" s="684"/>
      <c r="J58" s="685"/>
    </row>
    <row r="59" spans="3:10" outlineLevel="1" x14ac:dyDescent="0.3">
      <c r="C59" s="225"/>
      <c r="E59" s="701"/>
      <c r="F59" s="35"/>
      <c r="G59" s="35"/>
      <c r="H59" s="35"/>
      <c r="I59" s="35"/>
      <c r="J59" s="690"/>
    </row>
    <row r="60" spans="3:10" outlineLevel="1" x14ac:dyDescent="0.3">
      <c r="C60" s="225" t="str">
        <f>+'Proforma (Annual)'!C54</f>
        <v>Salary - Property Management</v>
      </c>
      <c r="E60" s="701">
        <f>+'Proforma (Annual)'!E54</f>
        <v>0</v>
      </c>
      <c r="F60" s="35">
        <f>+SUM('Payroll Schedule'!G21)</f>
        <v>226040</v>
      </c>
      <c r="G60" s="35">
        <f>+F60*(1+$F$11)</f>
        <v>230560.80000000002</v>
      </c>
      <c r="H60" s="35">
        <f>+G60*(1+$G$11)</f>
        <v>235172.01600000003</v>
      </c>
      <c r="I60" s="35">
        <f>+H60*(1+$H$11)</f>
        <v>239875.45632000003</v>
      </c>
      <c r="J60" s="690">
        <f>+I60*(1+$I$11)</f>
        <v>244672.96544640002</v>
      </c>
    </row>
    <row r="61" spans="3:10" outlineLevel="1" x14ac:dyDescent="0.3">
      <c r="C61" s="225" t="str">
        <f>+'Proforma (Annual)'!C55</f>
        <v xml:space="preserve">Salary - Maintenance </v>
      </c>
      <c r="E61" s="701">
        <f>+'Proforma (Annual)'!E55</f>
        <v>0</v>
      </c>
      <c r="F61" s="35">
        <f>+'Payroll Schedule'!G34</f>
        <v>198640</v>
      </c>
      <c r="G61" s="35">
        <f t="shared" ref="G61:G66" si="22">+F61*(1+$F$11)</f>
        <v>202612.80000000002</v>
      </c>
      <c r="H61" s="35">
        <f t="shared" ref="H61:H66" si="23">+G61*(1+$G$11)</f>
        <v>206665.05600000001</v>
      </c>
      <c r="I61" s="35">
        <f t="shared" ref="I61:I66" si="24">+H61*(1+$H$11)</f>
        <v>210798.35712000003</v>
      </c>
      <c r="J61" s="690">
        <f t="shared" ref="J61:J66" si="25">+I61*(1+$I$11)</f>
        <v>215014.32426240004</v>
      </c>
    </row>
    <row r="62" spans="3:10" outlineLevel="1" x14ac:dyDescent="0.3">
      <c r="C62" s="225" t="str">
        <f>+'Proforma (Annual)'!C56</f>
        <v>Payroll - Burden</v>
      </c>
      <c r="E62" s="701">
        <f>+'Proforma (Annual)'!E56</f>
        <v>0</v>
      </c>
      <c r="F62" s="682">
        <f>+SUM('Payroll Schedule'!H21,'Payroll Schedule'!H34,'Payroll Schedule'!D51)</f>
        <v>114482.5</v>
      </c>
      <c r="G62" s="35">
        <f t="shared" si="22"/>
        <v>116772.15000000001</v>
      </c>
      <c r="H62" s="35">
        <f t="shared" si="23"/>
        <v>119107.59300000001</v>
      </c>
      <c r="I62" s="35">
        <f t="shared" si="24"/>
        <v>121489.74486000001</v>
      </c>
      <c r="J62" s="690">
        <f t="shared" si="25"/>
        <v>123919.53975720001</v>
      </c>
    </row>
    <row r="63" spans="3:10" outlineLevel="1" x14ac:dyDescent="0.3">
      <c r="C63" s="225" t="str">
        <f>+'Proforma (Annual)'!C57</f>
        <v>Payroll - Miscellaneous</v>
      </c>
      <c r="E63" s="701">
        <f>+'Proforma (Annual)'!E57</f>
        <v>0</v>
      </c>
      <c r="F63" s="681"/>
      <c r="G63" s="35">
        <f t="shared" si="22"/>
        <v>0</v>
      </c>
      <c r="H63" s="35">
        <f t="shared" si="23"/>
        <v>0</v>
      </c>
      <c r="I63" s="35">
        <f t="shared" si="24"/>
        <v>0</v>
      </c>
      <c r="J63" s="690">
        <f t="shared" si="25"/>
        <v>0</v>
      </c>
    </row>
    <row r="64" spans="3:10" s="162" customFormat="1" outlineLevel="1" x14ac:dyDescent="0.3">
      <c r="C64" s="225" t="str">
        <f>+'Proforma (Annual)'!C58</f>
        <v>Leasing Bonuses</v>
      </c>
      <c r="D64" s="3"/>
      <c r="E64" s="701">
        <f>+'Proforma (Annual)'!E58</f>
        <v>0</v>
      </c>
      <c r="F64" s="35">
        <f>+'Payroll Schedule'!F40</f>
        <v>0</v>
      </c>
      <c r="G64" s="35">
        <f t="shared" si="22"/>
        <v>0</v>
      </c>
      <c r="H64" s="35">
        <f t="shared" si="23"/>
        <v>0</v>
      </c>
      <c r="I64" s="35">
        <f t="shared" si="24"/>
        <v>0</v>
      </c>
      <c r="J64" s="690">
        <f t="shared" si="25"/>
        <v>0</v>
      </c>
    </row>
    <row r="65" spans="3:10" outlineLevel="1" x14ac:dyDescent="0.3">
      <c r="C65" s="225" t="str">
        <f>+'Proforma (Annual)'!C59</f>
        <v>Bonuses</v>
      </c>
      <c r="E65" s="701">
        <f>+'Proforma (Annual)'!E59</f>
        <v>0</v>
      </c>
      <c r="F65" s="35">
        <f>+SUM('Payroll Schedule'!C51)</f>
        <v>33250</v>
      </c>
      <c r="G65" s="35">
        <f t="shared" si="22"/>
        <v>33915</v>
      </c>
      <c r="H65" s="35">
        <f t="shared" si="23"/>
        <v>34593.300000000003</v>
      </c>
      <c r="I65" s="35">
        <f t="shared" si="24"/>
        <v>35285.166000000005</v>
      </c>
      <c r="J65" s="690">
        <f t="shared" si="25"/>
        <v>35990.869320000005</v>
      </c>
    </row>
    <row r="66" spans="3:10" x14ac:dyDescent="0.3">
      <c r="C66" s="203" t="s">
        <v>184</v>
      </c>
      <c r="D66" s="204"/>
      <c r="E66" s="705">
        <f>+'Proforma (Annual)'!E60</f>
        <v>0</v>
      </c>
      <c r="F66" s="686">
        <f>+SUM(F60:F65)</f>
        <v>572412.5</v>
      </c>
      <c r="G66" s="686">
        <f t="shared" si="22"/>
        <v>583860.75</v>
      </c>
      <c r="H66" s="686">
        <f t="shared" si="23"/>
        <v>595537.96499999997</v>
      </c>
      <c r="I66" s="686">
        <f t="shared" si="24"/>
        <v>607448.7243</v>
      </c>
      <c r="J66" s="687">
        <f t="shared" si="25"/>
        <v>619597.69878600002</v>
      </c>
    </row>
    <row r="67" spans="3:10" x14ac:dyDescent="0.3">
      <c r="C67" s="225"/>
      <c r="E67" s="701"/>
      <c r="F67" s="35"/>
      <c r="G67" s="35"/>
      <c r="H67" s="35"/>
      <c r="I67" s="35"/>
      <c r="J67" s="690"/>
    </row>
    <row r="68" spans="3:10" outlineLevel="1" x14ac:dyDescent="0.3">
      <c r="C68" s="225" t="str">
        <f>+'Proforma (Annual)'!C62</f>
        <v>G&amp;A</v>
      </c>
      <c r="E68" s="701">
        <f>+'Proforma (Annual)'!E62</f>
        <v>0</v>
      </c>
      <c r="F68" s="35">
        <f>+'Proforma (Annual)'!V62</f>
        <v>0</v>
      </c>
      <c r="G68" s="35">
        <f>+F68*(1+$G$11)</f>
        <v>0</v>
      </c>
      <c r="H68" s="35">
        <f>+G68*(1+$H$11)</f>
        <v>0</v>
      </c>
      <c r="I68" s="35">
        <f>+H68*(1+$I$11)</f>
        <v>0</v>
      </c>
      <c r="J68" s="690">
        <f>+I68*(1+$J$11)</f>
        <v>0</v>
      </c>
    </row>
    <row r="69" spans="3:10" outlineLevel="1" x14ac:dyDescent="0.3">
      <c r="C69" s="225" t="str">
        <f>+'Proforma (Annual)'!C63</f>
        <v>Supplies</v>
      </c>
      <c r="E69" s="701">
        <f>+'Proforma (Annual)'!E63</f>
        <v>0</v>
      </c>
      <c r="F69" s="35">
        <f>+'Proforma (Annual)'!V63</f>
        <v>0</v>
      </c>
      <c r="G69" s="35">
        <f t="shared" ref="G69:G76" si="26">+F69*(1+$G$11)</f>
        <v>0</v>
      </c>
      <c r="H69" s="35">
        <f t="shared" ref="H69:H76" si="27">+G69*(1+$H$11)</f>
        <v>0</v>
      </c>
      <c r="I69" s="35">
        <f t="shared" ref="I69:I76" si="28">+H69*(1+$I$11)</f>
        <v>0</v>
      </c>
      <c r="J69" s="690">
        <f t="shared" ref="J69:J76" si="29">+I69*(1+$J$11)</f>
        <v>0</v>
      </c>
    </row>
    <row r="70" spans="3:10" outlineLevel="1" x14ac:dyDescent="0.3">
      <c r="C70" s="225" t="str">
        <f>+'Proforma (Annual)'!C64</f>
        <v>Memberships</v>
      </c>
      <c r="E70" s="701">
        <f>+'Proforma (Annual)'!E64</f>
        <v>0</v>
      </c>
      <c r="F70" s="35">
        <f>+'Proforma (Annual)'!V64</f>
        <v>0</v>
      </c>
      <c r="G70" s="35">
        <f t="shared" si="26"/>
        <v>0</v>
      </c>
      <c r="H70" s="35">
        <f t="shared" si="27"/>
        <v>0</v>
      </c>
      <c r="I70" s="35">
        <f t="shared" si="28"/>
        <v>0</v>
      </c>
      <c r="J70" s="690">
        <f t="shared" si="29"/>
        <v>0</v>
      </c>
    </row>
    <row r="71" spans="3:10" outlineLevel="1" x14ac:dyDescent="0.3">
      <c r="C71" s="225" t="str">
        <f>+'Proforma (Annual)'!C65</f>
        <v>Telephone</v>
      </c>
      <c r="E71" s="701">
        <f>+'Proforma (Annual)'!E65</f>
        <v>0</v>
      </c>
      <c r="F71" s="35">
        <f>+'Proforma (Annual)'!V65</f>
        <v>0</v>
      </c>
      <c r="G71" s="35">
        <f t="shared" si="26"/>
        <v>0</v>
      </c>
      <c r="H71" s="35">
        <f t="shared" si="27"/>
        <v>0</v>
      </c>
      <c r="I71" s="35">
        <f t="shared" si="28"/>
        <v>0</v>
      </c>
      <c r="J71" s="690">
        <f t="shared" si="29"/>
        <v>0</v>
      </c>
    </row>
    <row r="72" spans="3:10" outlineLevel="1" x14ac:dyDescent="0.3">
      <c r="C72" s="225" t="str">
        <f>+'Proforma (Annual)'!C66</f>
        <v>Legal</v>
      </c>
      <c r="E72" s="701">
        <f>+'Proforma (Annual)'!E66</f>
        <v>0</v>
      </c>
      <c r="F72" s="35">
        <f>+'Proforma (Annual)'!V66</f>
        <v>0</v>
      </c>
      <c r="G72" s="35">
        <f t="shared" si="26"/>
        <v>0</v>
      </c>
      <c r="H72" s="35">
        <f t="shared" si="27"/>
        <v>0</v>
      </c>
      <c r="I72" s="35">
        <f t="shared" si="28"/>
        <v>0</v>
      </c>
      <c r="J72" s="690">
        <f t="shared" si="29"/>
        <v>0</v>
      </c>
    </row>
    <row r="73" spans="3:10" outlineLevel="1" x14ac:dyDescent="0.3">
      <c r="C73" s="225" t="str">
        <f>+'Proforma (Annual)'!C67</f>
        <v>Bank Charges</v>
      </c>
      <c r="E73" s="701">
        <f>+'Proforma (Annual)'!E67</f>
        <v>0</v>
      </c>
      <c r="F73" s="35">
        <f>+'Proforma (Annual)'!V67</f>
        <v>0</v>
      </c>
      <c r="G73" s="35">
        <f t="shared" si="26"/>
        <v>0</v>
      </c>
      <c r="H73" s="35">
        <f t="shared" si="27"/>
        <v>0</v>
      </c>
      <c r="I73" s="35">
        <f t="shared" si="28"/>
        <v>0</v>
      </c>
      <c r="J73" s="690">
        <f t="shared" si="29"/>
        <v>0</v>
      </c>
    </row>
    <row r="74" spans="3:10" outlineLevel="1" x14ac:dyDescent="0.3">
      <c r="C74" s="225" t="str">
        <f>+'Proforma (Annual)'!C68</f>
        <v>Eviction Charges</v>
      </c>
      <c r="E74" s="701">
        <f>+'Proforma (Annual)'!E68</f>
        <v>0</v>
      </c>
      <c r="F74" s="35">
        <f>+'Proforma (Annual)'!V68</f>
        <v>0</v>
      </c>
      <c r="G74" s="35">
        <f t="shared" si="26"/>
        <v>0</v>
      </c>
      <c r="H74" s="35">
        <f t="shared" si="27"/>
        <v>0</v>
      </c>
      <c r="I74" s="35">
        <f t="shared" si="28"/>
        <v>0</v>
      </c>
      <c r="J74" s="690">
        <f t="shared" si="29"/>
        <v>0</v>
      </c>
    </row>
    <row r="75" spans="3:10" s="162" customFormat="1" outlineLevel="1" x14ac:dyDescent="0.3">
      <c r="C75" s="225" t="str">
        <f>+'Proforma (Annual)'!C69</f>
        <v>Internet - GA</v>
      </c>
      <c r="D75" s="3"/>
      <c r="E75" s="701">
        <f>+'Proforma (Annual)'!E69</f>
        <v>0</v>
      </c>
      <c r="F75" s="35">
        <f>+'Proforma (Annual)'!V69</f>
        <v>0</v>
      </c>
      <c r="G75" s="35">
        <f t="shared" si="26"/>
        <v>0</v>
      </c>
      <c r="H75" s="35">
        <f t="shared" si="27"/>
        <v>0</v>
      </c>
      <c r="I75" s="35">
        <f t="shared" si="28"/>
        <v>0</v>
      </c>
      <c r="J75" s="690">
        <f t="shared" si="29"/>
        <v>0</v>
      </c>
    </row>
    <row r="76" spans="3:10" outlineLevel="1" x14ac:dyDescent="0.3">
      <c r="C76" s="225" t="str">
        <f>+'Proforma (Annual)'!C70</f>
        <v>G&amp;A - Miscellaneous</v>
      </c>
      <c r="E76" s="701">
        <f>+'Proforma (Annual)'!E70</f>
        <v>0</v>
      </c>
      <c r="F76" s="35">
        <f>+'Proforma (Annual)'!V70</f>
        <v>0</v>
      </c>
      <c r="G76" s="35">
        <f t="shared" si="26"/>
        <v>0</v>
      </c>
      <c r="H76" s="35">
        <f t="shared" si="27"/>
        <v>0</v>
      </c>
      <c r="I76" s="35">
        <f t="shared" si="28"/>
        <v>0</v>
      </c>
      <c r="J76" s="690">
        <f t="shared" si="29"/>
        <v>0</v>
      </c>
    </row>
    <row r="77" spans="3:10" x14ac:dyDescent="0.3">
      <c r="C77" s="203" t="s">
        <v>185</v>
      </c>
      <c r="D77" s="204"/>
      <c r="E77" s="705">
        <f>+'Proforma (Annual)'!E71</f>
        <v>0</v>
      </c>
      <c r="F77" s="686">
        <f>+SUM(F68:F76)</f>
        <v>0</v>
      </c>
      <c r="G77" s="686">
        <f t="shared" ref="G77:J77" si="30">+SUM(G68:G76)</f>
        <v>0</v>
      </c>
      <c r="H77" s="686">
        <f t="shared" si="30"/>
        <v>0</v>
      </c>
      <c r="I77" s="686">
        <f t="shared" si="30"/>
        <v>0</v>
      </c>
      <c r="J77" s="687">
        <f t="shared" si="30"/>
        <v>0</v>
      </c>
    </row>
    <row r="78" spans="3:10" x14ac:dyDescent="0.3">
      <c r="C78" s="225"/>
      <c r="E78" s="701"/>
      <c r="F78" s="35"/>
      <c r="G78" s="35"/>
      <c r="H78" s="35"/>
      <c r="I78" s="35"/>
      <c r="J78" s="690"/>
    </row>
    <row r="79" spans="3:10" outlineLevel="1" x14ac:dyDescent="0.3">
      <c r="C79" s="225" t="str">
        <f>+'Proforma (Annual)'!C73</f>
        <v>Locator Fees</v>
      </c>
      <c r="E79" s="701">
        <f>+'Proforma (Annual)'!E73</f>
        <v>0</v>
      </c>
      <c r="F79" s="35">
        <f>SUMIF('Marketing Stack'!$B$6:$B$41,C79,'Marketing Stack'!$Q$6:$Q$41)</f>
        <v>6000</v>
      </c>
      <c r="G79" s="35">
        <f>+F79*(1+$G$11)</f>
        <v>6120</v>
      </c>
      <c r="H79" s="35">
        <f>+G79*(1+$H$11)</f>
        <v>6242.4000000000005</v>
      </c>
      <c r="I79" s="35">
        <f>+H79*(1+$I$11)</f>
        <v>6367.2480000000005</v>
      </c>
      <c r="J79" s="690">
        <f>+I79*(1+$J$11)</f>
        <v>6494.5929600000009</v>
      </c>
    </row>
    <row r="80" spans="3:10" outlineLevel="1" x14ac:dyDescent="0.3">
      <c r="C80" s="225" t="str">
        <f>+'Proforma (Annual)'!C74</f>
        <v>Marketing</v>
      </c>
      <c r="E80" s="701">
        <f>+'Proforma (Annual)'!E74</f>
        <v>0</v>
      </c>
      <c r="F80" s="35">
        <f>SUMIF('Marketing Stack'!$B$6:$B$41,C80,'Marketing Stack'!$Q$6:$Q$41)</f>
        <v>70632</v>
      </c>
      <c r="G80" s="35">
        <f t="shared" ref="G80:G82" si="31">+F80*(1+$G$11)</f>
        <v>72044.639999999999</v>
      </c>
      <c r="H80" s="35">
        <f t="shared" ref="H80:H82" si="32">+G80*(1+$H$11)</f>
        <v>73485.532800000001</v>
      </c>
      <c r="I80" s="35">
        <f t="shared" ref="I80:I82" si="33">+H80*(1+$I$11)</f>
        <v>74955.243455999997</v>
      </c>
      <c r="J80" s="690">
        <f t="shared" ref="J80:J82" si="34">+I80*(1+$J$11)</f>
        <v>76454.348325119994</v>
      </c>
    </row>
    <row r="81" spans="3:10" outlineLevel="1" x14ac:dyDescent="0.3">
      <c r="C81" s="225" t="str">
        <f>+'Proforma (Annual)'!C75</f>
        <v>Referral Fees</v>
      </c>
      <c r="E81" s="701">
        <f>+'Proforma (Annual)'!E75</f>
        <v>0</v>
      </c>
      <c r="F81" s="35">
        <f>SUMIF('Marketing Stack'!$B$6:$B$41,C81,'Marketing Stack'!$Q$6:$Q$41)</f>
        <v>0</v>
      </c>
      <c r="G81" s="35">
        <f t="shared" si="31"/>
        <v>0</v>
      </c>
      <c r="H81" s="35">
        <f t="shared" si="32"/>
        <v>0</v>
      </c>
      <c r="I81" s="35">
        <f t="shared" si="33"/>
        <v>0</v>
      </c>
      <c r="J81" s="690">
        <f t="shared" si="34"/>
        <v>0</v>
      </c>
    </row>
    <row r="82" spans="3:10" outlineLevel="1" x14ac:dyDescent="0.3">
      <c r="C82" s="225" t="str">
        <f>+'Proforma (Annual)'!C76</f>
        <v>Resident Retention</v>
      </c>
      <c r="E82" s="701">
        <f>+'Proforma (Annual)'!E76</f>
        <v>0</v>
      </c>
      <c r="F82" s="35">
        <f>SUMIF('Marketing Stack'!$B$6:$B$41,C82,'Marketing Stack'!$Q$6:$Q$41)</f>
        <v>15000</v>
      </c>
      <c r="G82" s="35">
        <f t="shared" si="31"/>
        <v>15300</v>
      </c>
      <c r="H82" s="35">
        <f t="shared" si="32"/>
        <v>15606</v>
      </c>
      <c r="I82" s="35">
        <f t="shared" si="33"/>
        <v>15918.12</v>
      </c>
      <c r="J82" s="690">
        <f t="shared" si="34"/>
        <v>16236.482400000001</v>
      </c>
    </row>
    <row r="83" spans="3:10" x14ac:dyDescent="0.3">
      <c r="C83" s="203" t="s">
        <v>186</v>
      </c>
      <c r="D83" s="204"/>
      <c r="E83" s="705">
        <f>+SUM(E79:E82)</f>
        <v>0</v>
      </c>
      <c r="F83" s="686">
        <f>+SUM(F79:F82)</f>
        <v>91632</v>
      </c>
      <c r="G83" s="686">
        <f t="shared" ref="G83:J83" si="35">+SUM(G79:G82)</f>
        <v>93464.639999999999</v>
      </c>
      <c r="H83" s="686">
        <f t="shared" si="35"/>
        <v>95333.932799999995</v>
      </c>
      <c r="I83" s="686">
        <f t="shared" si="35"/>
        <v>97240.611455999999</v>
      </c>
      <c r="J83" s="687">
        <f t="shared" si="35"/>
        <v>99185.423685119982</v>
      </c>
    </row>
    <row r="84" spans="3:10" x14ac:dyDescent="0.3">
      <c r="C84" s="225"/>
      <c r="E84" s="701"/>
      <c r="F84" s="35"/>
      <c r="G84" s="35"/>
      <c r="H84" s="35"/>
      <c r="I84" s="35"/>
      <c r="J84" s="690"/>
    </row>
    <row r="85" spans="3:10" outlineLevel="1" x14ac:dyDescent="0.3">
      <c r="C85" s="225" t="str">
        <f>+'Proforma (Annual)'!C79</f>
        <v>R&amp;M</v>
      </c>
      <c r="E85" s="701">
        <f>+'Proforma (Annual)'!E79</f>
        <v>0</v>
      </c>
      <c r="F85" s="35">
        <f>+E85*(1+$F$11)</f>
        <v>0</v>
      </c>
      <c r="G85" s="683">
        <f>+'Proforma (Annual)'!V79</f>
        <v>0</v>
      </c>
      <c r="H85" s="35">
        <f>+G85*(1+$H$11)</f>
        <v>0</v>
      </c>
      <c r="I85" s="35">
        <f>+H85*(1+$I$11)</f>
        <v>0</v>
      </c>
      <c r="J85" s="690">
        <f>+I85*(1+$J$11)</f>
        <v>0</v>
      </c>
    </row>
    <row r="86" spans="3:10" outlineLevel="1" x14ac:dyDescent="0.3">
      <c r="C86" s="225" t="str">
        <f>+'Proforma (Annual)'!C80</f>
        <v>Make-Ready/Redec</v>
      </c>
      <c r="E86" s="701">
        <f>+'Proforma (Annual)'!E80</f>
        <v>0</v>
      </c>
      <c r="F86" s="35">
        <f t="shared" ref="F86:F93" si="36">+E86*(1+$F$11)</f>
        <v>0</v>
      </c>
      <c r="G86" s="683">
        <f>+'Proforma (Annual)'!V80</f>
        <v>0</v>
      </c>
      <c r="H86" s="35">
        <f t="shared" ref="H86:H93" si="37">+G86*(1+$H$11)</f>
        <v>0</v>
      </c>
      <c r="I86" s="35">
        <f t="shared" ref="I86:I93" si="38">+H86*(1+$I$11)</f>
        <v>0</v>
      </c>
      <c r="J86" s="690">
        <f t="shared" ref="J86:J93" si="39">+I86*(1+$J$11)</f>
        <v>0</v>
      </c>
    </row>
    <row r="87" spans="3:10" outlineLevel="1" x14ac:dyDescent="0.3">
      <c r="C87" s="225" t="str">
        <f>+'Proforma (Annual)'!C81</f>
        <v>Landscaping</v>
      </c>
      <c r="E87" s="701">
        <f>+'Proforma (Annual)'!E81</f>
        <v>0</v>
      </c>
      <c r="F87" s="35">
        <f t="shared" si="36"/>
        <v>0</v>
      </c>
      <c r="G87" s="683">
        <f>+'Proforma (Annual)'!V81</f>
        <v>0</v>
      </c>
      <c r="H87" s="35">
        <f t="shared" si="37"/>
        <v>0</v>
      </c>
      <c r="I87" s="35">
        <f t="shared" si="38"/>
        <v>0</v>
      </c>
      <c r="J87" s="690">
        <f t="shared" si="39"/>
        <v>0</v>
      </c>
    </row>
    <row r="88" spans="3:10" outlineLevel="1" x14ac:dyDescent="0.3">
      <c r="C88" s="225" t="str">
        <f>+'Proforma (Annual)'!C82</f>
        <v>R&amp;M - Trash</v>
      </c>
      <c r="E88" s="701">
        <f>+'Proforma (Annual)'!E82</f>
        <v>0</v>
      </c>
      <c r="F88" s="35">
        <f t="shared" si="36"/>
        <v>0</v>
      </c>
      <c r="G88" s="683">
        <f>+'Proforma (Annual)'!V82</f>
        <v>0</v>
      </c>
      <c r="H88" s="35">
        <f t="shared" si="37"/>
        <v>0</v>
      </c>
      <c r="I88" s="35">
        <f t="shared" si="38"/>
        <v>0</v>
      </c>
      <c r="J88" s="690">
        <f t="shared" si="39"/>
        <v>0</v>
      </c>
    </row>
    <row r="89" spans="3:10" outlineLevel="1" x14ac:dyDescent="0.3">
      <c r="C89" s="225" t="str">
        <f>+'Proforma (Annual)'!C83</f>
        <v>Pest</v>
      </c>
      <c r="E89" s="701">
        <f>+'Proforma (Annual)'!E83</f>
        <v>0</v>
      </c>
      <c r="F89" s="35">
        <f t="shared" si="36"/>
        <v>0</v>
      </c>
      <c r="G89" s="683">
        <f>+'Proforma (Annual)'!V83</f>
        <v>0</v>
      </c>
      <c r="H89" s="35">
        <f t="shared" si="37"/>
        <v>0</v>
      </c>
      <c r="I89" s="35">
        <f t="shared" si="38"/>
        <v>0</v>
      </c>
      <c r="J89" s="690">
        <f t="shared" si="39"/>
        <v>0</v>
      </c>
    </row>
    <row r="90" spans="3:10" outlineLevel="1" x14ac:dyDescent="0.3">
      <c r="C90" s="225" t="str">
        <f>+'Proforma (Annual)'!C84</f>
        <v>Contract Services</v>
      </c>
      <c r="E90" s="701">
        <f>+'Proforma (Annual)'!E84</f>
        <v>0</v>
      </c>
      <c r="F90" s="35">
        <f t="shared" si="36"/>
        <v>0</v>
      </c>
      <c r="G90" s="683">
        <f>+'Proforma (Annual)'!V84</f>
        <v>0</v>
      </c>
      <c r="H90" s="35">
        <f t="shared" si="37"/>
        <v>0</v>
      </c>
      <c r="I90" s="35">
        <f t="shared" si="38"/>
        <v>0</v>
      </c>
      <c r="J90" s="690">
        <f t="shared" si="39"/>
        <v>0</v>
      </c>
    </row>
    <row r="91" spans="3:10" outlineLevel="1" x14ac:dyDescent="0.3">
      <c r="C91" s="225" t="str">
        <f>IFERROR('Proforma (Annual)'!C85,0)</f>
        <v>Tenant Billback Expense</v>
      </c>
      <c r="E91" s="701">
        <f>+'Proforma (Annual)'!E85</f>
        <v>0</v>
      </c>
      <c r="F91" s="35">
        <f t="shared" si="36"/>
        <v>0</v>
      </c>
      <c r="G91" s="683">
        <f>+'Proforma (Annual)'!V85</f>
        <v>0</v>
      </c>
      <c r="H91" s="35">
        <f t="shared" si="37"/>
        <v>0</v>
      </c>
      <c r="I91" s="35">
        <f t="shared" si="38"/>
        <v>0</v>
      </c>
      <c r="J91" s="690">
        <f t="shared" si="39"/>
        <v>0</v>
      </c>
    </row>
    <row r="92" spans="3:10" outlineLevel="1" x14ac:dyDescent="0.3">
      <c r="C92" s="225" t="str">
        <f>+'Proforma (Annual)'!C86</f>
        <v>Contract Services - Concierge</v>
      </c>
      <c r="E92" s="701">
        <f>+'Proforma (Annual)'!E86</f>
        <v>0</v>
      </c>
      <c r="F92" s="35">
        <f t="shared" si="36"/>
        <v>0</v>
      </c>
      <c r="G92" s="683">
        <f>+'Proforma (Annual)'!V86</f>
        <v>0</v>
      </c>
      <c r="H92" s="35">
        <f t="shared" si="37"/>
        <v>0</v>
      </c>
      <c r="I92" s="35">
        <f t="shared" si="38"/>
        <v>0</v>
      </c>
      <c r="J92" s="690">
        <f t="shared" si="39"/>
        <v>0</v>
      </c>
    </row>
    <row r="93" spans="3:10" outlineLevel="1" x14ac:dyDescent="0.3">
      <c r="C93" s="225" t="str">
        <f>+'Proforma (Annual)'!C87</f>
        <v>R&amp;M - Trash Reimbursement</v>
      </c>
      <c r="E93" s="701">
        <f>+'Proforma (Annual)'!E87</f>
        <v>0</v>
      </c>
      <c r="F93" s="35">
        <f t="shared" si="36"/>
        <v>0</v>
      </c>
      <c r="G93" s="683">
        <f>+'Proforma (Annual)'!V87</f>
        <v>0</v>
      </c>
      <c r="H93" s="35">
        <f t="shared" si="37"/>
        <v>0</v>
      </c>
      <c r="I93" s="35">
        <f t="shared" si="38"/>
        <v>0</v>
      </c>
      <c r="J93" s="690">
        <f t="shared" si="39"/>
        <v>0</v>
      </c>
    </row>
    <row r="94" spans="3:10" x14ac:dyDescent="0.3">
      <c r="C94" s="203" t="s">
        <v>187</v>
      </c>
      <c r="D94" s="204"/>
      <c r="E94" s="705">
        <f>+SUM(E85:E93)</f>
        <v>0</v>
      </c>
      <c r="F94" s="686">
        <f t="shared" ref="F94:J94" si="40">+SUM(F85:F93)</f>
        <v>0</v>
      </c>
      <c r="G94" s="697">
        <f t="shared" si="40"/>
        <v>0</v>
      </c>
      <c r="H94" s="686">
        <f t="shared" si="40"/>
        <v>0</v>
      </c>
      <c r="I94" s="686">
        <f t="shared" si="40"/>
        <v>0</v>
      </c>
      <c r="J94" s="687">
        <f t="shared" si="40"/>
        <v>0</v>
      </c>
    </row>
    <row r="95" spans="3:10" x14ac:dyDescent="0.3">
      <c r="C95" s="225"/>
      <c r="E95" s="701"/>
      <c r="F95" s="35"/>
      <c r="G95" s="35"/>
      <c r="H95" s="35"/>
      <c r="I95" s="35"/>
      <c r="J95" s="690"/>
    </row>
    <row r="96" spans="3:10" outlineLevel="1" x14ac:dyDescent="0.3">
      <c r="C96" s="225" t="str">
        <f>+'Proforma (Annual)'!C90</f>
        <v>Electricity</v>
      </c>
      <c r="E96" s="701">
        <f>+'Proforma (Annual)'!E90</f>
        <v>0</v>
      </c>
      <c r="F96" s="35">
        <f>+'Proforma (Annual)'!V90</f>
        <v>0</v>
      </c>
      <c r="G96" s="35">
        <f>+F96*(1+$G$11)</f>
        <v>0</v>
      </c>
      <c r="H96" s="35">
        <f>+G96*(1+$H$11)</f>
        <v>0</v>
      </c>
      <c r="I96" s="35">
        <f>+H96*(1+$I$11)</f>
        <v>0</v>
      </c>
      <c r="J96" s="690">
        <f>+I96*(1+$J$11)</f>
        <v>0</v>
      </c>
    </row>
    <row r="97" spans="3:12" outlineLevel="1" x14ac:dyDescent="0.3">
      <c r="C97" s="225" t="str">
        <f>+'Proforma (Annual)'!C91</f>
        <v>Water</v>
      </c>
      <c r="E97" s="701">
        <f>+'Proforma (Annual)'!E91</f>
        <v>0</v>
      </c>
      <c r="F97" s="35">
        <f>+'Proforma (Annual)'!V91</f>
        <v>0</v>
      </c>
      <c r="G97" s="35">
        <f t="shared" ref="G97:G103" si="41">+F97*(1+$G$11)</f>
        <v>0</v>
      </c>
      <c r="H97" s="35">
        <f t="shared" ref="H97:H103" si="42">+G97*(1+$H$11)</f>
        <v>0</v>
      </c>
      <c r="I97" s="35">
        <f t="shared" ref="I97:I103" si="43">+H97*(1+$I$11)</f>
        <v>0</v>
      </c>
      <c r="J97" s="690">
        <f t="shared" ref="J97:J103" si="44">+I97*(1+$J$11)</f>
        <v>0</v>
      </c>
    </row>
    <row r="98" spans="3:12" outlineLevel="1" x14ac:dyDescent="0.3">
      <c r="C98" s="225" t="str">
        <f>+'Proforma (Annual)'!C92</f>
        <v>Trash</v>
      </c>
      <c r="E98" s="701">
        <f>+'Proforma (Annual)'!E92</f>
        <v>0</v>
      </c>
      <c r="F98" s="35">
        <f>+'Proforma (Annual)'!V92</f>
        <v>0</v>
      </c>
      <c r="G98" s="35">
        <f t="shared" si="41"/>
        <v>0</v>
      </c>
      <c r="H98" s="35">
        <f t="shared" si="42"/>
        <v>0</v>
      </c>
      <c r="I98" s="35">
        <f t="shared" si="43"/>
        <v>0</v>
      </c>
      <c r="J98" s="690">
        <f t="shared" si="44"/>
        <v>0</v>
      </c>
    </row>
    <row r="99" spans="3:12" ht="12.6" customHeight="1" outlineLevel="1" x14ac:dyDescent="0.3">
      <c r="C99" s="225" t="str">
        <f>+'Proforma (Annual)'!C93</f>
        <v>Gas</v>
      </c>
      <c r="E99" s="701">
        <f>+'Proforma (Annual)'!E93</f>
        <v>0</v>
      </c>
      <c r="F99" s="35">
        <f>+'Proforma (Annual)'!V93</f>
        <v>0</v>
      </c>
      <c r="G99" s="35">
        <f t="shared" si="41"/>
        <v>0</v>
      </c>
      <c r="H99" s="35">
        <f t="shared" si="42"/>
        <v>0</v>
      </c>
      <c r="I99" s="35">
        <f t="shared" si="43"/>
        <v>0</v>
      </c>
      <c r="J99" s="690">
        <f t="shared" si="44"/>
        <v>0</v>
      </c>
    </row>
    <row r="100" spans="3:12" outlineLevel="1" x14ac:dyDescent="0.3">
      <c r="C100" s="225" t="str">
        <f>+'Proforma (Annual)'!C94</f>
        <v>Utility Fees</v>
      </c>
      <c r="E100" s="701">
        <f>+'Proforma (Annual)'!E94</f>
        <v>0</v>
      </c>
      <c r="F100" s="35">
        <f>+'Proforma (Annual)'!V94</f>
        <v>0</v>
      </c>
      <c r="G100" s="35">
        <f t="shared" si="41"/>
        <v>0</v>
      </c>
      <c r="H100" s="35">
        <f t="shared" si="42"/>
        <v>0</v>
      </c>
      <c r="I100" s="35">
        <f t="shared" si="43"/>
        <v>0</v>
      </c>
      <c r="J100" s="690">
        <f t="shared" si="44"/>
        <v>0</v>
      </c>
    </row>
    <row r="101" spans="3:12" outlineLevel="1" x14ac:dyDescent="0.3">
      <c r="C101" s="225" t="str">
        <f>+'Proforma (Annual)'!C95</f>
        <v>Internet - Utilities</v>
      </c>
      <c r="E101" s="701">
        <f>+'Proforma (Annual)'!E95</f>
        <v>0</v>
      </c>
      <c r="F101" s="35">
        <f>+'Proforma (Annual)'!V95</f>
        <v>0</v>
      </c>
      <c r="G101" s="35">
        <f t="shared" si="41"/>
        <v>0</v>
      </c>
      <c r="H101" s="35">
        <f t="shared" si="42"/>
        <v>0</v>
      </c>
      <c r="I101" s="35">
        <f t="shared" si="43"/>
        <v>0</v>
      </c>
      <c r="J101" s="690">
        <f t="shared" si="44"/>
        <v>0</v>
      </c>
    </row>
    <row r="102" spans="3:12" outlineLevel="1" x14ac:dyDescent="0.3">
      <c r="C102" s="225" t="str">
        <f>+'Proforma (Annual)'!C96</f>
        <v>Trash - Reimbursement</v>
      </c>
      <c r="E102" s="701">
        <f>+'Proforma (Annual)'!E96</f>
        <v>0</v>
      </c>
      <c r="F102" s="35">
        <f>+'Proforma (Annual)'!V96</f>
        <v>0</v>
      </c>
      <c r="G102" s="35">
        <f t="shared" si="41"/>
        <v>0</v>
      </c>
      <c r="H102" s="35">
        <f t="shared" si="42"/>
        <v>0</v>
      </c>
      <c r="I102" s="35">
        <f t="shared" si="43"/>
        <v>0</v>
      </c>
      <c r="J102" s="690">
        <f t="shared" si="44"/>
        <v>0</v>
      </c>
    </row>
    <row r="103" spans="3:12" outlineLevel="1" x14ac:dyDescent="0.3">
      <c r="C103" s="225" t="str">
        <f>+'Proforma (Annual)'!C97</f>
        <v>Utility Reimbursement</v>
      </c>
      <c r="E103" s="701">
        <f>+'Proforma (Annual)'!E97</f>
        <v>0</v>
      </c>
      <c r="F103" s="35">
        <f>+'Proforma (Annual)'!V97</f>
        <v>0</v>
      </c>
      <c r="G103" s="35">
        <f t="shared" si="41"/>
        <v>0</v>
      </c>
      <c r="H103" s="35">
        <f t="shared" si="42"/>
        <v>0</v>
      </c>
      <c r="I103" s="35">
        <f t="shared" si="43"/>
        <v>0</v>
      </c>
      <c r="J103" s="690">
        <f t="shared" si="44"/>
        <v>0</v>
      </c>
    </row>
    <row r="104" spans="3:12" x14ac:dyDescent="0.3">
      <c r="C104" s="203" t="s">
        <v>188</v>
      </c>
      <c r="D104" s="204"/>
      <c r="E104" s="705">
        <f>SUM(E96:E103)</f>
        <v>0</v>
      </c>
      <c r="F104" s="686">
        <f t="shared" ref="F104:J104" si="45">SUM(F96:F103)</f>
        <v>0</v>
      </c>
      <c r="G104" s="686">
        <f t="shared" si="45"/>
        <v>0</v>
      </c>
      <c r="H104" s="686">
        <f t="shared" si="45"/>
        <v>0</v>
      </c>
      <c r="I104" s="686">
        <f t="shared" si="45"/>
        <v>0</v>
      </c>
      <c r="J104" s="687">
        <f t="shared" si="45"/>
        <v>0</v>
      </c>
    </row>
    <row r="105" spans="3:12" ht="10.199999999999999" customHeight="1" x14ac:dyDescent="0.3">
      <c r="C105" s="225"/>
      <c r="E105" s="701"/>
      <c r="F105" s="35"/>
      <c r="G105" s="35"/>
      <c r="H105" s="35"/>
      <c r="I105" s="35"/>
      <c r="J105" s="690"/>
    </row>
    <row r="106" spans="3:12" x14ac:dyDescent="0.3">
      <c r="C106" s="384" t="s">
        <v>433</v>
      </c>
      <c r="D106" s="385"/>
      <c r="E106" s="705">
        <f>+SUM(E104,E94,E83,E77,E66)</f>
        <v>0</v>
      </c>
      <c r="F106" s="693">
        <f t="shared" ref="F106:J106" si="46">+SUM(F104,F94,F83,F77,F66)</f>
        <v>664044.5</v>
      </c>
      <c r="G106" s="693">
        <f t="shared" si="46"/>
        <v>677325.39</v>
      </c>
      <c r="H106" s="693">
        <f t="shared" si="46"/>
        <v>690871.89779999992</v>
      </c>
      <c r="I106" s="693">
        <f t="shared" si="46"/>
        <v>704689.33575600001</v>
      </c>
      <c r="J106" s="694">
        <f t="shared" si="46"/>
        <v>718783.12247111998</v>
      </c>
    </row>
    <row r="107" spans="3:12" x14ac:dyDescent="0.3">
      <c r="C107" s="225"/>
      <c r="E107" s="701"/>
      <c r="F107" s="35"/>
      <c r="G107" s="35"/>
      <c r="H107" s="35"/>
      <c r="I107" s="35"/>
      <c r="J107" s="690"/>
    </row>
    <row r="108" spans="3:12" outlineLevel="1" x14ac:dyDescent="0.3">
      <c r="C108" s="225" t="s">
        <v>194</v>
      </c>
      <c r="E108" s="701">
        <f>+'Proforma (Annual)'!E102</f>
        <v>0</v>
      </c>
      <c r="F108" s="35">
        <f>+F110*F56</f>
        <v>0</v>
      </c>
      <c r="G108" s="35">
        <f t="shared" ref="G108:J108" si="47">+G110*G56</f>
        <v>0</v>
      </c>
      <c r="H108" s="35">
        <f t="shared" si="47"/>
        <v>0</v>
      </c>
      <c r="I108" s="35">
        <f t="shared" si="47"/>
        <v>0</v>
      </c>
      <c r="J108" s="690">
        <f t="shared" si="47"/>
        <v>0</v>
      </c>
    </row>
    <row r="109" spans="3:12" x14ac:dyDescent="0.3">
      <c r="C109" s="203" t="s">
        <v>189</v>
      </c>
      <c r="D109" s="204"/>
      <c r="E109" s="705">
        <f>+'Proforma (Annual)'!E103</f>
        <v>0</v>
      </c>
      <c r="F109" s="686">
        <f>+F108</f>
        <v>0</v>
      </c>
      <c r="G109" s="686">
        <f t="shared" ref="G109:J109" si="48">+G108</f>
        <v>0</v>
      </c>
      <c r="H109" s="686">
        <f t="shared" si="48"/>
        <v>0</v>
      </c>
      <c r="I109" s="686">
        <f t="shared" si="48"/>
        <v>0</v>
      </c>
      <c r="J109" s="687">
        <f t="shared" si="48"/>
        <v>0</v>
      </c>
    </row>
    <row r="110" spans="3:12" x14ac:dyDescent="0.3">
      <c r="C110" s="292" t="s">
        <v>214</v>
      </c>
      <c r="D110" s="162"/>
      <c r="E110" s="706">
        <f>+'Proforma (Annual)'!$W$102</f>
        <v>2.5000000000000001E-2</v>
      </c>
      <c r="F110" s="121">
        <f>+'Proforma (Annual)'!$W$102</f>
        <v>2.5000000000000001E-2</v>
      </c>
      <c r="G110" s="121">
        <f>+'Proforma (Annual)'!$W$102</f>
        <v>2.5000000000000001E-2</v>
      </c>
      <c r="H110" s="121">
        <f>+'Proforma (Annual)'!$W$102</f>
        <v>2.5000000000000001E-2</v>
      </c>
      <c r="I110" s="121">
        <f>+'Proforma (Annual)'!$W$102</f>
        <v>2.5000000000000001E-2</v>
      </c>
      <c r="J110" s="677">
        <f>+'Proforma (Annual)'!$W$102</f>
        <v>2.5000000000000001E-2</v>
      </c>
    </row>
    <row r="111" spans="3:12" x14ac:dyDescent="0.3">
      <c r="C111" s="225"/>
      <c r="E111" s="701"/>
      <c r="F111" s="35"/>
      <c r="G111" s="35"/>
      <c r="H111" s="35"/>
      <c r="I111" s="35"/>
      <c r="J111" s="690"/>
      <c r="K111" s="35"/>
      <c r="L111" s="35"/>
    </row>
    <row r="112" spans="3:12" outlineLevel="1" x14ac:dyDescent="0.3">
      <c r="C112" s="225" t="s">
        <v>179</v>
      </c>
      <c r="E112" s="701">
        <f>+'Proforma (Annual)'!E106</f>
        <v>0</v>
      </c>
      <c r="F112" s="35">
        <f>+'Proforma (Annual)'!V106</f>
        <v>0</v>
      </c>
      <c r="G112" s="35">
        <f>+F112*(1+G11)</f>
        <v>0</v>
      </c>
      <c r="H112" s="35">
        <f>+G112*(1+H11)</f>
        <v>0</v>
      </c>
      <c r="I112" s="35">
        <f>+H112*(1+I11)</f>
        <v>0</v>
      </c>
      <c r="J112" s="690">
        <f>+I112*(1+J11)</f>
        <v>0</v>
      </c>
      <c r="K112" s="35"/>
      <c r="L112" s="35"/>
    </row>
    <row r="113" spans="3:12" x14ac:dyDescent="0.3">
      <c r="C113" s="203" t="s">
        <v>190</v>
      </c>
      <c r="D113" s="204"/>
      <c r="E113" s="705">
        <f>+E112</f>
        <v>0</v>
      </c>
      <c r="F113" s="686">
        <f>+F112</f>
        <v>0</v>
      </c>
      <c r="G113" s="686">
        <f t="shared" ref="G113:J113" si="49">+G112</f>
        <v>0</v>
      </c>
      <c r="H113" s="686">
        <f t="shared" si="49"/>
        <v>0</v>
      </c>
      <c r="I113" s="686">
        <f t="shared" si="49"/>
        <v>0</v>
      </c>
      <c r="J113" s="687">
        <f t="shared" si="49"/>
        <v>0</v>
      </c>
      <c r="K113" s="35"/>
      <c r="L113" s="35"/>
    </row>
    <row r="114" spans="3:12" x14ac:dyDescent="0.3">
      <c r="C114" s="225"/>
      <c r="E114" s="701"/>
      <c r="F114" s="35"/>
      <c r="G114" s="35"/>
      <c r="H114" s="35"/>
      <c r="I114" s="35"/>
      <c r="J114" s="690"/>
      <c r="K114" s="35"/>
      <c r="L114" s="35"/>
    </row>
    <row r="115" spans="3:12" outlineLevel="1" x14ac:dyDescent="0.3">
      <c r="C115" s="225" t="s">
        <v>180</v>
      </c>
      <c r="E115" s="701">
        <f>+'Proforma (Annual)'!E109</f>
        <v>0</v>
      </c>
      <c r="F115" s="35">
        <f>+'Proforma (Annual)'!V109</f>
        <v>0</v>
      </c>
      <c r="G115" s="35">
        <f>+F115*(1+G11)</f>
        <v>0</v>
      </c>
      <c r="H115" s="35">
        <f>+G115*(1+H11)</f>
        <v>0</v>
      </c>
      <c r="I115" s="35">
        <f>+H115*(1+I11)</f>
        <v>0</v>
      </c>
      <c r="J115" s="690">
        <f>+I115*(1+J11)</f>
        <v>0</v>
      </c>
      <c r="K115" s="35"/>
      <c r="L115" s="35"/>
    </row>
    <row r="116" spans="3:12" x14ac:dyDescent="0.3">
      <c r="C116" s="203" t="s">
        <v>191</v>
      </c>
      <c r="D116" s="204"/>
      <c r="E116" s="705">
        <f>+'Proforma (Annual)'!E110</f>
        <v>0</v>
      </c>
      <c r="F116" s="686">
        <f>+F115</f>
        <v>0</v>
      </c>
      <c r="G116" s="686">
        <f t="shared" ref="G116:J116" si="50">+G115</f>
        <v>0</v>
      </c>
      <c r="H116" s="686">
        <f t="shared" si="50"/>
        <v>0</v>
      </c>
      <c r="I116" s="686">
        <f t="shared" si="50"/>
        <v>0</v>
      </c>
      <c r="J116" s="687">
        <f t="shared" si="50"/>
        <v>0</v>
      </c>
      <c r="K116" s="35"/>
      <c r="L116" s="35"/>
    </row>
    <row r="117" spans="3:12" x14ac:dyDescent="0.3">
      <c r="C117" s="225"/>
      <c r="E117" s="701"/>
      <c r="F117" s="35"/>
      <c r="G117" s="35"/>
      <c r="H117" s="35"/>
      <c r="I117" s="35"/>
      <c r="J117" s="690"/>
      <c r="K117" s="35"/>
      <c r="L117" s="35"/>
    </row>
    <row r="118" spans="3:12" x14ac:dyDescent="0.3">
      <c r="C118" s="384" t="s">
        <v>192</v>
      </c>
      <c r="D118" s="385"/>
      <c r="E118" s="705">
        <f>+'Proforma (Annual)'!E112</f>
        <v>0</v>
      </c>
      <c r="F118" s="693">
        <f>+SUM(F106,F109,F113,F116)</f>
        <v>664044.5</v>
      </c>
      <c r="G118" s="693">
        <f t="shared" ref="G118:J118" si="51">+SUM(G106,G109,G113,G116)</f>
        <v>677325.39</v>
      </c>
      <c r="H118" s="693">
        <f t="shared" si="51"/>
        <v>690871.89779999992</v>
      </c>
      <c r="I118" s="693">
        <f t="shared" si="51"/>
        <v>704689.33575600001</v>
      </c>
      <c r="J118" s="694">
        <f t="shared" si="51"/>
        <v>718783.12247111998</v>
      </c>
      <c r="K118" s="35"/>
      <c r="L118" s="35"/>
    </row>
    <row r="119" spans="3:12" x14ac:dyDescent="0.3">
      <c r="C119" s="292" t="s">
        <v>195</v>
      </c>
      <c r="E119" s="707" t="e">
        <f>+'Proforma (Annual)'!E113</f>
        <v>#DIV/0!</v>
      </c>
      <c r="F119" s="695" t="e">
        <f>+F118/F56</f>
        <v>#DIV/0!</v>
      </c>
      <c r="G119" s="695" t="e">
        <f t="shared" ref="G119:J119" si="52">+G118/G56</f>
        <v>#DIV/0!</v>
      </c>
      <c r="H119" s="695" t="e">
        <f t="shared" si="52"/>
        <v>#DIV/0!</v>
      </c>
      <c r="I119" s="695" t="e">
        <f t="shared" si="52"/>
        <v>#DIV/0!</v>
      </c>
      <c r="J119" s="696" t="e">
        <f t="shared" si="52"/>
        <v>#DIV/0!</v>
      </c>
    </row>
    <row r="120" spans="3:12" ht="6" customHeight="1" x14ac:dyDescent="0.3">
      <c r="C120" s="225"/>
      <c r="E120" s="701"/>
      <c r="F120" s="35"/>
      <c r="G120" s="35"/>
      <c r="H120" s="35"/>
      <c r="I120" s="35"/>
      <c r="J120" s="690"/>
      <c r="K120" s="35"/>
    </row>
    <row r="121" spans="3:12" x14ac:dyDescent="0.3">
      <c r="C121" s="384" t="s">
        <v>193</v>
      </c>
      <c r="D121" s="385"/>
      <c r="E121" s="705">
        <f>+'Proforma (Annual)'!E115</f>
        <v>0</v>
      </c>
      <c r="F121" s="693">
        <f>+F56-F118</f>
        <v>-664044.5</v>
      </c>
      <c r="G121" s="693">
        <f t="shared" ref="G121:J121" si="53">+G56-G118</f>
        <v>-677325.39</v>
      </c>
      <c r="H121" s="693">
        <f t="shared" si="53"/>
        <v>-690871.89779999992</v>
      </c>
      <c r="I121" s="693">
        <f t="shared" si="53"/>
        <v>-704689.33575600001</v>
      </c>
      <c r="J121" s="694">
        <f t="shared" si="53"/>
        <v>-718783.12247111998</v>
      </c>
      <c r="K121" s="35"/>
    </row>
  </sheetData>
  <mergeCells count="1">
    <mergeCell ref="C58:D58"/>
  </mergeCells>
  <dataValidations count="1">
    <dataValidation allowBlank="1" showInputMessage="1" showErrorMessage="1" sqref="C60:C65" xr:uid="{09DA4383-537D-48E6-8901-E8FE780E4249}"/>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9639243-A93D-4EA2-8C2F-813DD61E7BA8}">
          <x14:formula1>
            <xm:f>'OpStatement List - Dropdowns'!$I$5:$I$53</xm:f>
          </x14:formula1>
          <xm:sqref>C28:C53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D8498-C7EA-46ED-A8E8-9D4794EE9519}">
  <sheetPr>
    <tabColor rgb="FFFFC000"/>
    <pageSetUpPr fitToPage="1"/>
  </sheetPr>
  <dimension ref="B2:AS130"/>
  <sheetViews>
    <sheetView showGridLines="0" topLeftCell="I14" zoomScale="80" zoomScaleNormal="80" workbookViewId="0">
      <selection activeCell="U51" sqref="U51"/>
    </sheetView>
  </sheetViews>
  <sheetFormatPr defaultColWidth="8.88671875" defaultRowHeight="13.8" x14ac:dyDescent="0.3"/>
  <cols>
    <col min="1" max="1" width="8.88671875" style="3"/>
    <col min="2" max="3" width="28.21875" style="3" customWidth="1"/>
    <col min="4" max="4" width="21.44140625" style="3" bestFit="1" customWidth="1"/>
    <col min="5" max="5" width="32.33203125" style="3" bestFit="1" customWidth="1"/>
    <col min="6" max="6" width="10.5546875" style="3" bestFit="1" customWidth="1"/>
    <col min="7" max="7" width="11" style="3" bestFit="1" customWidth="1"/>
    <col min="8" max="8" width="16.6640625" style="3" customWidth="1"/>
    <col min="9" max="9" width="16.109375" style="3" customWidth="1"/>
    <col min="10" max="10" width="15.44140625" style="3" customWidth="1"/>
    <col min="11" max="21" width="14.44140625" style="3" bestFit="1" customWidth="1"/>
    <col min="22" max="34" width="14.88671875" style="3" bestFit="1" customWidth="1"/>
    <col min="35" max="35" width="28.33203125" style="3" customWidth="1"/>
    <col min="36" max="36" width="20.6640625" style="3" customWidth="1"/>
    <col min="37" max="45" width="2.33203125" style="3" bestFit="1" customWidth="1"/>
    <col min="46" max="16384" width="8.88671875" style="3"/>
  </cols>
  <sheetData>
    <row r="2" spans="2:35" ht="31.2" x14ac:dyDescent="0.6">
      <c r="B2" s="722" t="s">
        <v>414</v>
      </c>
      <c r="C2" s="722"/>
      <c r="W2" s="33"/>
    </row>
    <row r="3" spans="2:35" x14ac:dyDescent="0.3">
      <c r="K3" s="121"/>
      <c r="L3" s="121"/>
      <c r="M3" s="121"/>
      <c r="N3" s="121"/>
      <c r="O3" s="121"/>
      <c r="P3" s="121"/>
      <c r="Q3" s="121"/>
      <c r="R3" s="121"/>
      <c r="S3" s="121"/>
      <c r="T3" s="121"/>
      <c r="U3" s="121"/>
      <c r="V3" s="121"/>
      <c r="W3" s="121"/>
      <c r="X3" s="121"/>
      <c r="Y3" s="121"/>
      <c r="Z3" s="121"/>
    </row>
    <row r="4" spans="2:35" x14ac:dyDescent="0.3">
      <c r="B4" s="144" t="s">
        <v>235</v>
      </c>
      <c r="C4" s="144" t="s">
        <v>415</v>
      </c>
      <c r="D4" s="32"/>
    </row>
    <row r="5" spans="2:35" x14ac:dyDescent="0.3">
      <c r="B5" s="180">
        <f>'Lease-Up Proforma'!C2</f>
        <v>0</v>
      </c>
      <c r="C5" s="181">
        <f>1-'Proforma (Annual)'!U14</f>
        <v>1</v>
      </c>
      <c r="D5" s="32"/>
      <c r="E5" s="3" t="s">
        <v>416</v>
      </c>
      <c r="J5" s="55"/>
      <c r="K5" s="55">
        <v>0</v>
      </c>
      <c r="L5" s="55">
        <f>SUM(K5:K6)</f>
        <v>0</v>
      </c>
      <c r="M5" s="55">
        <f t="shared" ref="M5:AH5" si="0">SUM(L5:L6)</f>
        <v>0</v>
      </c>
      <c r="N5" s="55">
        <f t="shared" si="0"/>
        <v>0</v>
      </c>
      <c r="O5" s="55">
        <f t="shared" si="0"/>
        <v>0</v>
      </c>
      <c r="P5" s="55">
        <f t="shared" si="0"/>
        <v>0</v>
      </c>
      <c r="Q5" s="55">
        <f t="shared" si="0"/>
        <v>0</v>
      </c>
      <c r="R5" s="55">
        <f t="shared" si="0"/>
        <v>0</v>
      </c>
      <c r="S5" s="55">
        <f t="shared" si="0"/>
        <v>0</v>
      </c>
      <c r="T5" s="55">
        <f t="shared" si="0"/>
        <v>0</v>
      </c>
      <c r="U5" s="55">
        <f t="shared" si="0"/>
        <v>0</v>
      </c>
      <c r="V5" s="55">
        <f t="shared" si="0"/>
        <v>0</v>
      </c>
      <c r="W5" s="55">
        <f t="shared" si="0"/>
        <v>0</v>
      </c>
      <c r="X5" s="55">
        <f t="shared" si="0"/>
        <v>0</v>
      </c>
      <c r="Y5" s="55">
        <f t="shared" si="0"/>
        <v>0</v>
      </c>
      <c r="Z5" s="55">
        <f t="shared" si="0"/>
        <v>0</v>
      </c>
      <c r="AA5" s="55">
        <f t="shared" si="0"/>
        <v>0</v>
      </c>
      <c r="AB5" s="55">
        <f t="shared" si="0"/>
        <v>0</v>
      </c>
      <c r="AC5" s="55">
        <f t="shared" si="0"/>
        <v>0</v>
      </c>
      <c r="AD5" s="55">
        <f t="shared" si="0"/>
        <v>0</v>
      </c>
      <c r="AE5" s="55">
        <f t="shared" si="0"/>
        <v>0</v>
      </c>
      <c r="AF5" s="55">
        <f t="shared" si="0"/>
        <v>0</v>
      </c>
      <c r="AG5" s="55">
        <f t="shared" si="0"/>
        <v>0</v>
      </c>
      <c r="AH5" s="55">
        <f t="shared" si="0"/>
        <v>0</v>
      </c>
    </row>
    <row r="6" spans="2:35" x14ac:dyDescent="0.3">
      <c r="B6" s="182" t="s">
        <v>74</v>
      </c>
      <c r="C6" s="182" t="s">
        <v>417</v>
      </c>
      <c r="D6" s="32"/>
      <c r="E6" s="3" t="s">
        <v>418</v>
      </c>
      <c r="K6" s="185">
        <f>+'Absorption Schedule'!I38</f>
        <v>0</v>
      </c>
      <c r="L6" s="185">
        <f>+'Absorption Schedule'!J38</f>
        <v>0</v>
      </c>
      <c r="M6" s="185">
        <f>+'Absorption Schedule'!K38</f>
        <v>0</v>
      </c>
      <c r="N6" s="185">
        <f>+'Absorption Schedule'!L38</f>
        <v>0</v>
      </c>
      <c r="O6" s="185">
        <f>+'Absorption Schedule'!M38</f>
        <v>0</v>
      </c>
      <c r="P6" s="185">
        <f>+'Absorption Schedule'!N38</f>
        <v>0</v>
      </c>
      <c r="Q6" s="185">
        <f>+'Absorption Schedule'!O38</f>
        <v>0</v>
      </c>
      <c r="R6" s="185">
        <f>+'Absorption Schedule'!P38</f>
        <v>0</v>
      </c>
      <c r="S6" s="185">
        <f>+'Absorption Schedule'!Q38</f>
        <v>0</v>
      </c>
      <c r="T6" s="185">
        <f>+'Absorption Schedule'!R38</f>
        <v>0</v>
      </c>
      <c r="U6" s="185">
        <f>+'Absorption Schedule'!S38</f>
        <v>0</v>
      </c>
      <c r="V6" s="185">
        <f>+'Absorption Schedule'!T38</f>
        <v>0</v>
      </c>
      <c r="W6" s="185">
        <f>+'Absorption Schedule'!U38</f>
        <v>0</v>
      </c>
      <c r="X6" s="185">
        <f>+'Absorption Schedule'!V38</f>
        <v>0</v>
      </c>
      <c r="Y6" s="185">
        <f>+'Absorption Schedule'!W38</f>
        <v>0</v>
      </c>
      <c r="Z6" s="185">
        <f>+'Absorption Schedule'!X38</f>
        <v>0</v>
      </c>
      <c r="AA6" s="185">
        <f>+'Absorption Schedule'!Y38</f>
        <v>0</v>
      </c>
      <c r="AB6" s="185">
        <f>+'Absorption Schedule'!Z38</f>
        <v>0</v>
      </c>
      <c r="AC6" s="185">
        <f>+'Absorption Schedule'!AA38</f>
        <v>0</v>
      </c>
      <c r="AD6" s="185">
        <f>+'Absorption Schedule'!AB38</f>
        <v>0</v>
      </c>
      <c r="AE6" s="185">
        <f>+'Absorption Schedule'!AC38</f>
        <v>0</v>
      </c>
      <c r="AF6" s="185">
        <f>+'Absorption Schedule'!AD38</f>
        <v>0</v>
      </c>
      <c r="AG6" s="185">
        <f>+'Absorption Schedule'!AE38</f>
        <v>0</v>
      </c>
      <c r="AH6" s="185">
        <f>+'Absorption Schedule'!AF38</f>
        <v>0</v>
      </c>
    </row>
    <row r="7" spans="2:35" x14ac:dyDescent="0.3">
      <c r="B7" s="183">
        <f>'Rent Schedule'!E31</f>
        <v>0</v>
      </c>
      <c r="C7" s="183">
        <f>B7*C5</f>
        <v>0</v>
      </c>
      <c r="D7" s="32"/>
      <c r="E7" s="3" t="s">
        <v>419</v>
      </c>
      <c r="F7" s="55"/>
      <c r="G7" s="55"/>
      <c r="H7" s="55"/>
      <c r="I7" s="55"/>
      <c r="K7" s="55">
        <f>+'Absorption Schedule'!H35</f>
        <v>0</v>
      </c>
      <c r="L7" s="55">
        <f>+'Absorption Schedule'!I35</f>
        <v>20</v>
      </c>
      <c r="M7" s="55">
        <f>+'Absorption Schedule'!J35</f>
        <v>22</v>
      </c>
      <c r="N7" s="55">
        <f>+'Absorption Schedule'!K35</f>
        <v>22</v>
      </c>
      <c r="O7" s="55">
        <f>+'Absorption Schedule'!L35</f>
        <v>21</v>
      </c>
      <c r="P7" s="55">
        <f>+'Absorption Schedule'!M35</f>
        <v>17</v>
      </c>
      <c r="Q7" s="55">
        <f>+'Absorption Schedule'!N35</f>
        <v>17</v>
      </c>
      <c r="R7" s="55">
        <f>+'Absorption Schedule'!O35</f>
        <v>18</v>
      </c>
      <c r="S7" s="55">
        <f>+'Absorption Schedule'!P35</f>
        <v>18</v>
      </c>
      <c r="T7" s="55">
        <f>+'Absorption Schedule'!Q35</f>
        <v>18</v>
      </c>
      <c r="U7" s="55">
        <f>+'Absorption Schedule'!R35</f>
        <v>18</v>
      </c>
      <c r="V7" s="55">
        <f>+'Absorption Schedule'!S35</f>
        <v>18</v>
      </c>
      <c r="W7" s="55">
        <f>+'Absorption Schedule'!T35</f>
        <v>18</v>
      </c>
      <c r="X7" s="55">
        <f>+'Absorption Schedule'!U35</f>
        <v>18</v>
      </c>
      <c r="Y7" s="55">
        <f>+'Absorption Schedule'!V35</f>
        <v>21</v>
      </c>
      <c r="Z7" s="55">
        <f>+'Absorption Schedule'!W35</f>
        <v>12</v>
      </c>
      <c r="AA7" s="55">
        <f>+'Absorption Schedule'!X35</f>
        <v>13</v>
      </c>
      <c r="AB7" s="55">
        <f>+'Absorption Schedule'!Y35</f>
        <v>13</v>
      </c>
      <c r="AC7" s="55">
        <f>+'Absorption Schedule'!Z35</f>
        <v>15</v>
      </c>
      <c r="AD7" s="55">
        <f>+'Absorption Schedule'!AA35</f>
        <v>15</v>
      </c>
      <c r="AE7" s="55">
        <f>+'Absorption Schedule'!AB35</f>
        <v>13</v>
      </c>
      <c r="AF7" s="55">
        <f>+'Absorption Schedule'!AC35</f>
        <v>12</v>
      </c>
      <c r="AG7" s="55">
        <f>+'Absorption Schedule'!AD35</f>
        <v>10</v>
      </c>
      <c r="AH7" s="55">
        <f>+'Absorption Schedule'!AE35</f>
        <v>7</v>
      </c>
    </row>
    <row r="8" spans="2:35" x14ac:dyDescent="0.3">
      <c r="B8" s="144" t="s">
        <v>420</v>
      </c>
      <c r="C8" s="144" t="s">
        <v>452</v>
      </c>
      <c r="D8" s="32"/>
      <c r="F8" s="55"/>
      <c r="G8" s="55"/>
      <c r="H8" s="55"/>
      <c r="I8" s="55"/>
      <c r="J8" s="55"/>
      <c r="K8" s="55"/>
      <c r="L8" s="55"/>
      <c r="M8" s="55"/>
      <c r="N8" s="55"/>
      <c r="O8" s="55"/>
      <c r="P8" s="55"/>
      <c r="Q8" s="55"/>
      <c r="R8" s="55"/>
      <c r="S8" s="55"/>
      <c r="T8" s="55"/>
    </row>
    <row r="9" spans="2:35" x14ac:dyDescent="0.3">
      <c r="B9" s="487">
        <v>46053</v>
      </c>
      <c r="C9" s="183" t="e">
        <f>'Absorption Schedule'!#REF!</f>
        <v>#REF!</v>
      </c>
      <c r="D9" s="32"/>
      <c r="E9" s="3" t="s">
        <v>421</v>
      </c>
      <c r="K9" s="184" t="e">
        <f>$B$7-K10</f>
        <v>#DIV/0!</v>
      </c>
      <c r="L9" s="184" t="e">
        <f>+$B$7-'Absorption Schedule'!I37</f>
        <v>#DIV/0!</v>
      </c>
      <c r="M9" s="184" t="e">
        <f>+$B$7-'Absorption Schedule'!J37</f>
        <v>#DIV/0!</v>
      </c>
      <c r="N9" s="184" t="e">
        <f>+$B$7-'Absorption Schedule'!K37</f>
        <v>#DIV/0!</v>
      </c>
      <c r="O9" s="184" t="e">
        <f>+$B$7-'Absorption Schedule'!L37</f>
        <v>#DIV/0!</v>
      </c>
      <c r="P9" s="184" t="e">
        <f>+$B$7-'Absorption Schedule'!M37</f>
        <v>#DIV/0!</v>
      </c>
      <c r="Q9" s="184" t="e">
        <f>+$B$7-'Absorption Schedule'!N37</f>
        <v>#DIV/0!</v>
      </c>
      <c r="R9" s="184" t="e">
        <f>+$B$7-'Absorption Schedule'!O37</f>
        <v>#DIV/0!</v>
      </c>
      <c r="S9" s="184" t="e">
        <f>+$B$7-'Absorption Schedule'!P37</f>
        <v>#DIV/0!</v>
      </c>
      <c r="T9" s="184" t="e">
        <f>+$B$7-'Absorption Schedule'!Q37</f>
        <v>#DIV/0!</v>
      </c>
      <c r="U9" s="184" t="e">
        <f>+$B$7-'Absorption Schedule'!R37</f>
        <v>#DIV/0!</v>
      </c>
      <c r="V9" s="184" t="e">
        <f>+$B$7-'Absorption Schedule'!S37</f>
        <v>#DIV/0!</v>
      </c>
      <c r="W9" s="184" t="e">
        <f>+$B$7-'Absorption Schedule'!T37</f>
        <v>#DIV/0!</v>
      </c>
      <c r="X9" s="184" t="e">
        <f>+$B$7-'Absorption Schedule'!U37</f>
        <v>#DIV/0!</v>
      </c>
      <c r="Y9" s="184" t="e">
        <f>+$B$7-'Absorption Schedule'!V37</f>
        <v>#DIV/0!</v>
      </c>
      <c r="Z9" s="184" t="e">
        <f>+$B$7-'Absorption Schedule'!W37</f>
        <v>#DIV/0!</v>
      </c>
      <c r="AA9" s="184" t="e">
        <f>+$B$7-'Absorption Schedule'!X37</f>
        <v>#DIV/0!</v>
      </c>
      <c r="AB9" s="184" t="e">
        <f>+$B$7-'Absorption Schedule'!Y37</f>
        <v>#DIV/0!</v>
      </c>
      <c r="AC9" s="184" t="e">
        <f>+$B$7-'Absorption Schedule'!Z37</f>
        <v>#DIV/0!</v>
      </c>
      <c r="AD9" s="184" t="e">
        <f>+$B$7-'Absorption Schedule'!AA37</f>
        <v>#DIV/0!</v>
      </c>
      <c r="AE9" s="184" t="e">
        <f>+$B$7-'Absorption Schedule'!AB37</f>
        <v>#DIV/0!</v>
      </c>
      <c r="AF9" s="184" t="e">
        <f>+$B$7-'Absorption Schedule'!AC37</f>
        <v>#DIV/0!</v>
      </c>
      <c r="AG9" s="184" t="e">
        <f>+$B$7-'Absorption Schedule'!AD37</f>
        <v>#DIV/0!</v>
      </c>
      <c r="AH9" s="184" t="e">
        <f>+$B$7-'Absorption Schedule'!AE37</f>
        <v>#DIV/0!</v>
      </c>
    </row>
    <row r="10" spans="2:35" x14ac:dyDescent="0.3">
      <c r="E10" s="3" t="s">
        <v>422</v>
      </c>
      <c r="J10" s="185">
        <v>0</v>
      </c>
      <c r="K10" s="185" t="e">
        <f>+'Absorption Schedule'!H37</f>
        <v>#DIV/0!</v>
      </c>
      <c r="L10" s="185" t="e">
        <f>+'Absorption Schedule'!I37</f>
        <v>#DIV/0!</v>
      </c>
      <c r="M10" s="185" t="e">
        <f>+'Absorption Schedule'!J37</f>
        <v>#DIV/0!</v>
      </c>
      <c r="N10" s="185" t="e">
        <f>+'Absorption Schedule'!K37</f>
        <v>#DIV/0!</v>
      </c>
      <c r="O10" s="185" t="e">
        <f>+'Absorption Schedule'!L37</f>
        <v>#DIV/0!</v>
      </c>
      <c r="P10" s="185" t="e">
        <f>+'Absorption Schedule'!M37</f>
        <v>#DIV/0!</v>
      </c>
      <c r="Q10" s="185" t="e">
        <f>+'Absorption Schedule'!N37</f>
        <v>#DIV/0!</v>
      </c>
      <c r="R10" s="185" t="e">
        <f>+'Absorption Schedule'!O37</f>
        <v>#DIV/0!</v>
      </c>
      <c r="S10" s="185" t="e">
        <f>+'Absorption Schedule'!P37</f>
        <v>#DIV/0!</v>
      </c>
      <c r="T10" s="185" t="e">
        <f>+'Absorption Schedule'!Q37</f>
        <v>#DIV/0!</v>
      </c>
      <c r="U10" s="185" t="e">
        <f>+'Absorption Schedule'!R37</f>
        <v>#DIV/0!</v>
      </c>
      <c r="V10" s="185" t="e">
        <f>+'Absorption Schedule'!S37</f>
        <v>#DIV/0!</v>
      </c>
      <c r="W10" s="185" t="e">
        <f>+'Absorption Schedule'!T37</f>
        <v>#DIV/0!</v>
      </c>
      <c r="X10" s="185" t="e">
        <f>+'Absorption Schedule'!U37</f>
        <v>#DIV/0!</v>
      </c>
      <c r="Y10" s="185" t="e">
        <f>+'Absorption Schedule'!V37</f>
        <v>#DIV/0!</v>
      </c>
      <c r="Z10" s="185" t="e">
        <f>+'Absorption Schedule'!W37</f>
        <v>#DIV/0!</v>
      </c>
      <c r="AA10" s="185" t="e">
        <f>+'Absorption Schedule'!X37</f>
        <v>#DIV/0!</v>
      </c>
      <c r="AB10" s="185" t="e">
        <f>+'Absorption Schedule'!Y37</f>
        <v>#DIV/0!</v>
      </c>
      <c r="AC10" s="185" t="e">
        <f>+'Absorption Schedule'!Z37</f>
        <v>#DIV/0!</v>
      </c>
      <c r="AD10" s="185" t="e">
        <f>+'Absorption Schedule'!AA37</f>
        <v>#DIV/0!</v>
      </c>
      <c r="AE10" s="185" t="e">
        <f>+'Absorption Schedule'!AB37</f>
        <v>#DIV/0!</v>
      </c>
      <c r="AF10" s="185" t="e">
        <f>+'Absorption Schedule'!AC37</f>
        <v>#DIV/0!</v>
      </c>
      <c r="AG10" s="185" t="e">
        <f>+'Absorption Schedule'!AD37</f>
        <v>#DIV/0!</v>
      </c>
      <c r="AH10" s="185" t="e">
        <f>+'Absorption Schedule'!AE37</f>
        <v>#DIV/0!</v>
      </c>
    </row>
    <row r="11" spans="2:35" x14ac:dyDescent="0.3">
      <c r="E11" s="3" t="s">
        <v>423</v>
      </c>
      <c r="J11" s="186">
        <v>0</v>
      </c>
      <c r="K11" s="490" t="e">
        <f>K10/$B$7</f>
        <v>#DIV/0!</v>
      </c>
      <c r="L11" s="490" t="e">
        <f t="shared" ref="L11:AH11" si="1">L10/$B$7</f>
        <v>#DIV/0!</v>
      </c>
      <c r="M11" s="490" t="e">
        <f t="shared" si="1"/>
        <v>#DIV/0!</v>
      </c>
      <c r="N11" s="490" t="e">
        <f t="shared" si="1"/>
        <v>#DIV/0!</v>
      </c>
      <c r="O11" s="490" t="e">
        <f t="shared" si="1"/>
        <v>#DIV/0!</v>
      </c>
      <c r="P11" s="490" t="e">
        <f t="shared" si="1"/>
        <v>#DIV/0!</v>
      </c>
      <c r="Q11" s="490" t="e">
        <f t="shared" si="1"/>
        <v>#DIV/0!</v>
      </c>
      <c r="R11" s="490" t="e">
        <f t="shared" si="1"/>
        <v>#DIV/0!</v>
      </c>
      <c r="S11" s="490" t="e">
        <f t="shared" si="1"/>
        <v>#DIV/0!</v>
      </c>
      <c r="T11" s="490" t="e">
        <f t="shared" si="1"/>
        <v>#DIV/0!</v>
      </c>
      <c r="U11" s="490" t="e">
        <f t="shared" si="1"/>
        <v>#DIV/0!</v>
      </c>
      <c r="V11" s="490" t="e">
        <f t="shared" si="1"/>
        <v>#DIV/0!</v>
      </c>
      <c r="W11" s="490" t="e">
        <f t="shared" si="1"/>
        <v>#DIV/0!</v>
      </c>
      <c r="X11" s="490" t="e">
        <f t="shared" si="1"/>
        <v>#DIV/0!</v>
      </c>
      <c r="Y11" s="490" t="e">
        <f t="shared" si="1"/>
        <v>#DIV/0!</v>
      </c>
      <c r="Z11" s="490" t="e">
        <f t="shared" si="1"/>
        <v>#DIV/0!</v>
      </c>
      <c r="AA11" s="490" t="e">
        <f t="shared" si="1"/>
        <v>#DIV/0!</v>
      </c>
      <c r="AB11" s="490" t="e">
        <f t="shared" si="1"/>
        <v>#DIV/0!</v>
      </c>
      <c r="AC11" s="490" t="e">
        <f t="shared" si="1"/>
        <v>#DIV/0!</v>
      </c>
      <c r="AD11" s="490" t="e">
        <f t="shared" si="1"/>
        <v>#DIV/0!</v>
      </c>
      <c r="AE11" s="490" t="e">
        <f t="shared" si="1"/>
        <v>#DIV/0!</v>
      </c>
      <c r="AF11" s="490" t="e">
        <f t="shared" si="1"/>
        <v>#DIV/0!</v>
      </c>
      <c r="AG11" s="490" t="e">
        <f t="shared" si="1"/>
        <v>#DIV/0!</v>
      </c>
      <c r="AH11" s="490" t="e">
        <f t="shared" si="1"/>
        <v>#DIV/0!</v>
      </c>
    </row>
    <row r="12" spans="2:35" x14ac:dyDescent="0.3">
      <c r="J12" s="187"/>
      <c r="K12" s="187"/>
      <c r="L12" s="187"/>
      <c r="M12" s="187"/>
      <c r="N12" s="187"/>
      <c r="O12" s="187"/>
      <c r="P12" s="187"/>
      <c r="Q12" s="187"/>
      <c r="R12" s="187"/>
      <c r="S12" s="187"/>
      <c r="T12" s="187"/>
      <c r="U12" s="187"/>
      <c r="V12" s="187"/>
      <c r="W12" s="187"/>
      <c r="X12" s="187"/>
      <c r="Y12" s="187"/>
      <c r="Z12" s="187"/>
      <c r="AA12" s="187"/>
      <c r="AB12" s="187"/>
      <c r="AC12" s="187"/>
      <c r="AD12" s="187"/>
      <c r="AE12" s="187"/>
      <c r="AF12" s="187"/>
      <c r="AG12" s="187"/>
      <c r="AH12" s="187"/>
    </row>
    <row r="13" spans="2:35" x14ac:dyDescent="0.3">
      <c r="H13" s="55">
        <v>-2</v>
      </c>
      <c r="I13" s="55">
        <v>-1</v>
      </c>
      <c r="J13" s="187">
        <v>0</v>
      </c>
      <c r="K13" s="187">
        <v>1</v>
      </c>
      <c r="L13" s="187">
        <v>2</v>
      </c>
      <c r="M13" s="187">
        <v>3</v>
      </c>
      <c r="N13" s="187">
        <v>4</v>
      </c>
      <c r="O13" s="187">
        <v>5</v>
      </c>
      <c r="P13" s="187">
        <v>6</v>
      </c>
      <c r="Q13" s="187">
        <v>7</v>
      </c>
      <c r="R13" s="187">
        <v>8</v>
      </c>
      <c r="S13" s="187">
        <v>9</v>
      </c>
      <c r="T13" s="187">
        <v>10</v>
      </c>
      <c r="U13" s="187">
        <v>11</v>
      </c>
      <c r="V13" s="188">
        <v>12</v>
      </c>
      <c r="W13" s="187">
        <v>13</v>
      </c>
      <c r="X13" s="187">
        <v>14</v>
      </c>
      <c r="Y13" s="187">
        <v>15</v>
      </c>
      <c r="Z13" s="187">
        <v>16</v>
      </c>
      <c r="AA13" s="187">
        <v>17</v>
      </c>
      <c r="AB13" s="187">
        <v>18</v>
      </c>
      <c r="AC13" s="187">
        <v>19</v>
      </c>
      <c r="AD13" s="187">
        <v>20</v>
      </c>
      <c r="AE13" s="187">
        <v>21</v>
      </c>
      <c r="AF13" s="187">
        <v>22</v>
      </c>
      <c r="AG13" s="187">
        <v>23</v>
      </c>
      <c r="AH13" s="188">
        <v>24</v>
      </c>
    </row>
    <row r="14" spans="2:35" x14ac:dyDescent="0.3">
      <c r="E14" s="3" t="s">
        <v>424</v>
      </c>
      <c r="H14" s="488">
        <f>EOMONTH('Absorption Schedule'!F25,0)</f>
        <v>46142</v>
      </c>
      <c r="I14" s="488">
        <f t="shared" ref="I14:AH14" si="2">+EOMONTH(H14,1)</f>
        <v>46173</v>
      </c>
      <c r="J14" s="488">
        <f t="shared" si="2"/>
        <v>46203</v>
      </c>
      <c r="K14" s="488">
        <f t="shared" si="2"/>
        <v>46234</v>
      </c>
      <c r="L14" s="488">
        <f t="shared" si="2"/>
        <v>46265</v>
      </c>
      <c r="M14" s="488">
        <f t="shared" si="2"/>
        <v>46295</v>
      </c>
      <c r="N14" s="488">
        <f t="shared" si="2"/>
        <v>46326</v>
      </c>
      <c r="O14" s="488">
        <f t="shared" si="2"/>
        <v>46356</v>
      </c>
      <c r="P14" s="488">
        <f t="shared" si="2"/>
        <v>46387</v>
      </c>
      <c r="Q14" s="488">
        <f t="shared" si="2"/>
        <v>46418</v>
      </c>
      <c r="R14" s="488">
        <f t="shared" si="2"/>
        <v>46446</v>
      </c>
      <c r="S14" s="488">
        <f t="shared" si="2"/>
        <v>46477</v>
      </c>
      <c r="T14" s="488">
        <f t="shared" si="2"/>
        <v>46507</v>
      </c>
      <c r="U14" s="488">
        <f t="shared" si="2"/>
        <v>46538</v>
      </c>
      <c r="V14" s="489">
        <f t="shared" si="2"/>
        <v>46568</v>
      </c>
      <c r="W14" s="488">
        <f t="shared" si="2"/>
        <v>46599</v>
      </c>
      <c r="X14" s="488">
        <f t="shared" si="2"/>
        <v>46630</v>
      </c>
      <c r="Y14" s="488">
        <f t="shared" si="2"/>
        <v>46660</v>
      </c>
      <c r="Z14" s="488">
        <f t="shared" si="2"/>
        <v>46691</v>
      </c>
      <c r="AA14" s="488">
        <f t="shared" si="2"/>
        <v>46721</v>
      </c>
      <c r="AB14" s="488">
        <f t="shared" si="2"/>
        <v>46752</v>
      </c>
      <c r="AC14" s="488">
        <f t="shared" si="2"/>
        <v>46783</v>
      </c>
      <c r="AD14" s="488">
        <f t="shared" si="2"/>
        <v>46812</v>
      </c>
      <c r="AE14" s="488">
        <f t="shared" si="2"/>
        <v>46843</v>
      </c>
      <c r="AF14" s="488">
        <f t="shared" si="2"/>
        <v>46873</v>
      </c>
      <c r="AG14" s="488">
        <f t="shared" si="2"/>
        <v>46904</v>
      </c>
      <c r="AH14" s="489">
        <f t="shared" si="2"/>
        <v>46934</v>
      </c>
    </row>
    <row r="15" spans="2:35" ht="21" customHeight="1" x14ac:dyDescent="0.3">
      <c r="H15" s="721" t="s">
        <v>425</v>
      </c>
      <c r="I15" s="721"/>
      <c r="J15" s="721"/>
      <c r="K15" s="32" t="s">
        <v>426</v>
      </c>
      <c r="V15" s="189"/>
      <c r="AH15" s="189"/>
    </row>
    <row r="16" spans="2:35" x14ac:dyDescent="0.3">
      <c r="E16" s="190" t="s">
        <v>223</v>
      </c>
      <c r="F16" s="492">
        <v>0.02</v>
      </c>
      <c r="G16" s="491"/>
      <c r="H16" s="191"/>
      <c r="I16" s="192"/>
      <c r="J16" s="193"/>
      <c r="K16" s="194">
        <f>'Rent Schedule'!$P$31/12</f>
        <v>0</v>
      </c>
      <c r="L16" s="194">
        <f>'Rent Schedule'!$P$31/12</f>
        <v>0</v>
      </c>
      <c r="M16" s="194">
        <f>'Rent Schedule'!$P$31/12</f>
        <v>0</v>
      </c>
      <c r="N16" s="194">
        <f>'Rent Schedule'!$P$31/12</f>
        <v>0</v>
      </c>
      <c r="O16" s="194">
        <f>'Rent Schedule'!$P$31/12</f>
        <v>0</v>
      </c>
      <c r="P16" s="194">
        <f>'Rent Schedule'!$P$31/12</f>
        <v>0</v>
      </c>
      <c r="Q16" s="194">
        <f>'Rent Schedule'!$P$31/12</f>
        <v>0</v>
      </c>
      <c r="R16" s="194">
        <f>'Rent Schedule'!$P$31/12</f>
        <v>0</v>
      </c>
      <c r="S16" s="194">
        <f>'Rent Schedule'!$P$31/12</f>
        <v>0</v>
      </c>
      <c r="T16" s="194">
        <f>'Rent Schedule'!$P$31/12</f>
        <v>0</v>
      </c>
      <c r="U16" s="194">
        <f>'Rent Schedule'!$P$31/12</f>
        <v>0</v>
      </c>
      <c r="V16" s="195">
        <f>'Rent Schedule'!$P$31/12</f>
        <v>0</v>
      </c>
      <c r="W16" s="194">
        <f>('Rent Schedule'!$P$31*(1+$F$16))/12</f>
        <v>0</v>
      </c>
      <c r="X16" s="194">
        <f>('Rent Schedule'!$P$31*(1+$F$16))/12</f>
        <v>0</v>
      </c>
      <c r="Y16" s="194">
        <f>('Rent Schedule'!$P$31*(1+$F$16))/12</f>
        <v>0</v>
      </c>
      <c r="Z16" s="194">
        <f>('Rent Schedule'!$P$31*(1+$F$16))/12</f>
        <v>0</v>
      </c>
      <c r="AA16" s="194">
        <f>('Rent Schedule'!$P$31*(1+$F$16))/12</f>
        <v>0</v>
      </c>
      <c r="AB16" s="194">
        <f>('Rent Schedule'!$P$31*(1+$F$16))/12</f>
        <v>0</v>
      </c>
      <c r="AC16" s="194">
        <f>('Rent Schedule'!$P$31*(1+$F$16))/12</f>
        <v>0</v>
      </c>
      <c r="AD16" s="194">
        <f>('Rent Schedule'!$P$31*(1+$F$16))/12</f>
        <v>0</v>
      </c>
      <c r="AE16" s="194">
        <f>('Rent Schedule'!$P$31*(1+$F$16))/12</f>
        <v>0</v>
      </c>
      <c r="AF16" s="194">
        <f>('Rent Schedule'!$P$31*(1+$F$16))/12</f>
        <v>0</v>
      </c>
      <c r="AG16" s="194">
        <f>('Rent Schedule'!$P$31*(1+$F$16))/12</f>
        <v>0</v>
      </c>
      <c r="AH16" s="194">
        <f>('Rent Schedule'!$P$31*(1+$F$16))/12</f>
        <v>0</v>
      </c>
      <c r="AI16" s="33"/>
    </row>
    <row r="17" spans="3:36" x14ac:dyDescent="0.3">
      <c r="E17" s="196" t="s">
        <v>224</v>
      </c>
      <c r="F17" s="197">
        <v>1E-3</v>
      </c>
      <c r="G17" s="197"/>
      <c r="H17" s="198"/>
      <c r="I17" s="199"/>
      <c r="J17" s="200"/>
      <c r="K17" s="201">
        <v>0</v>
      </c>
      <c r="L17" s="201">
        <v>0</v>
      </c>
      <c r="M17" s="201">
        <v>0</v>
      </c>
      <c r="N17" s="201">
        <v>0</v>
      </c>
      <c r="O17" s="201">
        <v>0</v>
      </c>
      <c r="P17" s="201">
        <v>0</v>
      </c>
      <c r="Q17" s="201">
        <v>0</v>
      </c>
      <c r="R17" s="201">
        <v>0</v>
      </c>
      <c r="S17" s="201">
        <v>0</v>
      </c>
      <c r="T17" s="201">
        <v>0</v>
      </c>
      <c r="U17" s="201">
        <v>0</v>
      </c>
      <c r="V17" s="202">
        <v>0</v>
      </c>
      <c r="W17" s="201">
        <f>-$F$17*W16</f>
        <v>0</v>
      </c>
      <c r="X17" s="201">
        <f t="shared" ref="X17:AH17" si="3">-$F$17*X16</f>
        <v>0</v>
      </c>
      <c r="Y17" s="201">
        <f t="shared" si="3"/>
        <v>0</v>
      </c>
      <c r="Z17" s="201">
        <f t="shared" si="3"/>
        <v>0</v>
      </c>
      <c r="AA17" s="201">
        <f t="shared" si="3"/>
        <v>0</v>
      </c>
      <c r="AB17" s="201">
        <f t="shared" si="3"/>
        <v>0</v>
      </c>
      <c r="AC17" s="201">
        <f t="shared" si="3"/>
        <v>0</v>
      </c>
      <c r="AD17" s="201">
        <f t="shared" si="3"/>
        <v>0</v>
      </c>
      <c r="AE17" s="201">
        <f t="shared" si="3"/>
        <v>0</v>
      </c>
      <c r="AF17" s="201">
        <f t="shared" si="3"/>
        <v>0</v>
      </c>
      <c r="AG17" s="201">
        <f t="shared" si="3"/>
        <v>0</v>
      </c>
      <c r="AH17" s="201">
        <f t="shared" si="3"/>
        <v>0</v>
      </c>
      <c r="AI17" s="33"/>
    </row>
    <row r="18" spans="3:36" x14ac:dyDescent="0.3">
      <c r="E18" s="203" t="s">
        <v>215</v>
      </c>
      <c r="F18" s="204"/>
      <c r="G18" s="204"/>
      <c r="H18" s="205">
        <v>0</v>
      </c>
      <c r="I18" s="206">
        <v>0</v>
      </c>
      <c r="J18" s="207">
        <v>0</v>
      </c>
      <c r="K18" s="206">
        <f>SUM(K16:K17)</f>
        <v>0</v>
      </c>
      <c r="L18" s="206">
        <f>SUM(L16:L17)</f>
        <v>0</v>
      </c>
      <c r="M18" s="206">
        <f t="shared" ref="M18:AH18" si="4">SUM(M16:M17)</f>
        <v>0</v>
      </c>
      <c r="N18" s="206">
        <f t="shared" si="4"/>
        <v>0</v>
      </c>
      <c r="O18" s="206">
        <f t="shared" si="4"/>
        <v>0</v>
      </c>
      <c r="P18" s="206">
        <f t="shared" si="4"/>
        <v>0</v>
      </c>
      <c r="Q18" s="206">
        <f t="shared" si="4"/>
        <v>0</v>
      </c>
      <c r="R18" s="206">
        <f t="shared" si="4"/>
        <v>0</v>
      </c>
      <c r="S18" s="206">
        <f t="shared" si="4"/>
        <v>0</v>
      </c>
      <c r="T18" s="206">
        <f t="shared" si="4"/>
        <v>0</v>
      </c>
      <c r="U18" s="206">
        <f t="shared" si="4"/>
        <v>0</v>
      </c>
      <c r="V18" s="206">
        <f t="shared" si="4"/>
        <v>0</v>
      </c>
      <c r="W18" s="206">
        <f t="shared" si="4"/>
        <v>0</v>
      </c>
      <c r="X18" s="206">
        <f t="shared" si="4"/>
        <v>0</v>
      </c>
      <c r="Y18" s="206">
        <f t="shared" si="4"/>
        <v>0</v>
      </c>
      <c r="Z18" s="206">
        <f t="shared" si="4"/>
        <v>0</v>
      </c>
      <c r="AA18" s="206">
        <f t="shared" si="4"/>
        <v>0</v>
      </c>
      <c r="AB18" s="206">
        <f t="shared" si="4"/>
        <v>0</v>
      </c>
      <c r="AC18" s="206">
        <f t="shared" si="4"/>
        <v>0</v>
      </c>
      <c r="AD18" s="206">
        <f t="shared" si="4"/>
        <v>0</v>
      </c>
      <c r="AE18" s="206">
        <f t="shared" si="4"/>
        <v>0</v>
      </c>
      <c r="AF18" s="206">
        <f t="shared" si="4"/>
        <v>0</v>
      </c>
      <c r="AG18" s="206">
        <f t="shared" si="4"/>
        <v>0</v>
      </c>
      <c r="AH18" s="206">
        <f t="shared" si="4"/>
        <v>0</v>
      </c>
      <c r="AI18" s="33"/>
    </row>
    <row r="19" spans="3:36" x14ac:dyDescent="0.3">
      <c r="E19" s="209"/>
      <c r="F19" s="210"/>
      <c r="G19" s="210"/>
      <c r="H19" s="211"/>
      <c r="I19" s="210"/>
      <c r="J19" s="207"/>
      <c r="K19" s="206"/>
      <c r="L19" s="206"/>
      <c r="M19" s="206"/>
      <c r="N19" s="206"/>
      <c r="O19" s="206"/>
      <c r="P19" s="206"/>
      <c r="Q19" s="206"/>
      <c r="R19" s="206"/>
      <c r="S19" s="206"/>
      <c r="T19" s="206"/>
      <c r="U19" s="206"/>
      <c r="V19" s="212"/>
      <c r="W19" s="206"/>
      <c r="X19" s="206"/>
      <c r="Y19" s="206"/>
      <c r="Z19" s="206"/>
      <c r="AA19" s="206"/>
      <c r="AB19" s="206"/>
      <c r="AC19" s="206"/>
      <c r="AD19" s="206"/>
      <c r="AE19" s="206"/>
      <c r="AF19" s="206"/>
      <c r="AG19" s="206"/>
      <c r="AH19" s="212"/>
      <c r="AI19" s="33"/>
    </row>
    <row r="20" spans="3:36" x14ac:dyDescent="0.3">
      <c r="E20" s="213" t="s">
        <v>55</v>
      </c>
      <c r="F20" s="214"/>
      <c r="G20" s="214"/>
      <c r="H20" s="215">
        <v>0</v>
      </c>
      <c r="I20" s="216">
        <v>0</v>
      </c>
      <c r="J20" s="217">
        <v>0</v>
      </c>
      <c r="K20" s="194" t="e">
        <f>-K21*K18</f>
        <v>#DIV/0!</v>
      </c>
      <c r="L20" s="194" t="e">
        <f t="shared" ref="L20:AH20" si="5">-L21*L18</f>
        <v>#DIV/0!</v>
      </c>
      <c r="M20" s="194" t="e">
        <f t="shared" si="5"/>
        <v>#DIV/0!</v>
      </c>
      <c r="N20" s="194" t="e">
        <f t="shared" si="5"/>
        <v>#DIV/0!</v>
      </c>
      <c r="O20" s="194" t="e">
        <f t="shared" si="5"/>
        <v>#DIV/0!</v>
      </c>
      <c r="P20" s="194" t="e">
        <f t="shared" si="5"/>
        <v>#DIV/0!</v>
      </c>
      <c r="Q20" s="194" t="e">
        <f t="shared" si="5"/>
        <v>#DIV/0!</v>
      </c>
      <c r="R20" s="194" t="e">
        <f t="shared" si="5"/>
        <v>#DIV/0!</v>
      </c>
      <c r="S20" s="194" t="e">
        <f t="shared" si="5"/>
        <v>#DIV/0!</v>
      </c>
      <c r="T20" s="194" t="e">
        <f t="shared" si="5"/>
        <v>#DIV/0!</v>
      </c>
      <c r="U20" s="194" t="e">
        <f t="shared" si="5"/>
        <v>#DIV/0!</v>
      </c>
      <c r="V20" s="195" t="e">
        <f t="shared" si="5"/>
        <v>#DIV/0!</v>
      </c>
      <c r="W20" s="194" t="e">
        <f t="shared" si="5"/>
        <v>#DIV/0!</v>
      </c>
      <c r="X20" s="194" t="e">
        <f t="shared" si="5"/>
        <v>#DIV/0!</v>
      </c>
      <c r="Y20" s="194" t="e">
        <f t="shared" si="5"/>
        <v>#DIV/0!</v>
      </c>
      <c r="Z20" s="194" t="e">
        <f t="shared" si="5"/>
        <v>#DIV/0!</v>
      </c>
      <c r="AA20" s="194" t="e">
        <f t="shared" si="5"/>
        <v>#DIV/0!</v>
      </c>
      <c r="AB20" s="194" t="e">
        <f t="shared" si="5"/>
        <v>#DIV/0!</v>
      </c>
      <c r="AC20" s="194" t="e">
        <f t="shared" si="5"/>
        <v>#DIV/0!</v>
      </c>
      <c r="AD20" s="194" t="e">
        <f t="shared" si="5"/>
        <v>#DIV/0!</v>
      </c>
      <c r="AE20" s="194" t="e">
        <f t="shared" si="5"/>
        <v>#DIV/0!</v>
      </c>
      <c r="AF20" s="194" t="e">
        <f t="shared" si="5"/>
        <v>#DIV/0!</v>
      </c>
      <c r="AG20" s="194" t="e">
        <f t="shared" si="5"/>
        <v>#DIV/0!</v>
      </c>
      <c r="AH20" s="195" t="e">
        <f t="shared" si="5"/>
        <v>#DIV/0!</v>
      </c>
      <c r="AI20" s="33"/>
    </row>
    <row r="21" spans="3:36" x14ac:dyDescent="0.3">
      <c r="E21" s="218" t="s">
        <v>240</v>
      </c>
      <c r="F21" s="219"/>
      <c r="G21" s="219"/>
      <c r="H21" s="220">
        <v>1</v>
      </c>
      <c r="I21" s="221">
        <v>1</v>
      </c>
      <c r="J21" s="222">
        <v>1</v>
      </c>
      <c r="K21" s="223" t="e">
        <f>1-K11</f>
        <v>#DIV/0!</v>
      </c>
      <c r="L21" s="223" t="e">
        <f t="shared" ref="L21:AH21" si="6">1-L11</f>
        <v>#DIV/0!</v>
      </c>
      <c r="M21" s="223" t="e">
        <f t="shared" si="6"/>
        <v>#DIV/0!</v>
      </c>
      <c r="N21" s="223" t="e">
        <f t="shared" si="6"/>
        <v>#DIV/0!</v>
      </c>
      <c r="O21" s="223" t="e">
        <f t="shared" si="6"/>
        <v>#DIV/0!</v>
      </c>
      <c r="P21" s="223" t="e">
        <f t="shared" si="6"/>
        <v>#DIV/0!</v>
      </c>
      <c r="Q21" s="223" t="e">
        <f t="shared" si="6"/>
        <v>#DIV/0!</v>
      </c>
      <c r="R21" s="223" t="e">
        <f t="shared" si="6"/>
        <v>#DIV/0!</v>
      </c>
      <c r="S21" s="223" t="e">
        <f t="shared" si="6"/>
        <v>#DIV/0!</v>
      </c>
      <c r="T21" s="223" t="e">
        <f t="shared" si="6"/>
        <v>#DIV/0!</v>
      </c>
      <c r="U21" s="223" t="e">
        <f t="shared" si="6"/>
        <v>#DIV/0!</v>
      </c>
      <c r="V21" s="224" t="e">
        <f t="shared" si="6"/>
        <v>#DIV/0!</v>
      </c>
      <c r="W21" s="223" t="e">
        <f t="shared" si="6"/>
        <v>#DIV/0!</v>
      </c>
      <c r="X21" s="223" t="e">
        <f t="shared" si="6"/>
        <v>#DIV/0!</v>
      </c>
      <c r="Y21" s="223" t="e">
        <f t="shared" si="6"/>
        <v>#DIV/0!</v>
      </c>
      <c r="Z21" s="223" t="e">
        <f t="shared" si="6"/>
        <v>#DIV/0!</v>
      </c>
      <c r="AA21" s="223" t="e">
        <f t="shared" si="6"/>
        <v>#DIV/0!</v>
      </c>
      <c r="AB21" s="223" t="e">
        <f t="shared" si="6"/>
        <v>#DIV/0!</v>
      </c>
      <c r="AC21" s="223" t="e">
        <f t="shared" si="6"/>
        <v>#DIV/0!</v>
      </c>
      <c r="AD21" s="223" t="e">
        <f t="shared" si="6"/>
        <v>#DIV/0!</v>
      </c>
      <c r="AE21" s="223" t="e">
        <f t="shared" si="6"/>
        <v>#DIV/0!</v>
      </c>
      <c r="AF21" s="223" t="e">
        <f t="shared" si="6"/>
        <v>#DIV/0!</v>
      </c>
      <c r="AG21" s="223" t="e">
        <f t="shared" si="6"/>
        <v>#DIV/0!</v>
      </c>
      <c r="AH21" s="224" t="e">
        <f t="shared" si="6"/>
        <v>#DIV/0!</v>
      </c>
      <c r="AI21" s="33"/>
    </row>
    <row r="22" spans="3:36" x14ac:dyDescent="0.3">
      <c r="C22" s="33"/>
      <c r="E22" s="225" t="s">
        <v>427</v>
      </c>
      <c r="F22" s="493" t="e">
        <f>'Rent Schedule'!L31</f>
        <v>#DIV/0!</v>
      </c>
      <c r="G22" s="226"/>
      <c r="H22" s="227"/>
      <c r="I22" s="228"/>
      <c r="J22" s="229"/>
      <c r="K22" s="33" t="e">
        <f>'Absorption Schedule'!#REF!</f>
        <v>#REF!</v>
      </c>
      <c r="L22" s="33" t="e">
        <f>'Absorption Schedule'!#REF!</f>
        <v>#REF!</v>
      </c>
      <c r="M22" s="33" t="e">
        <f>'Absorption Schedule'!#REF!</f>
        <v>#REF!</v>
      </c>
      <c r="N22" s="33" t="e">
        <f>'Absorption Schedule'!#REF!</f>
        <v>#REF!</v>
      </c>
      <c r="O22" s="33" t="e">
        <f>'Absorption Schedule'!#REF!</f>
        <v>#REF!</v>
      </c>
      <c r="P22" s="33" t="e">
        <f>'Absorption Schedule'!#REF!</f>
        <v>#REF!</v>
      </c>
      <c r="Q22" s="33" t="e">
        <f>'Absorption Schedule'!#REF!</f>
        <v>#REF!</v>
      </c>
      <c r="R22" s="33" t="e">
        <f>'Absorption Schedule'!#REF!</f>
        <v>#REF!</v>
      </c>
      <c r="S22" s="33" t="e">
        <f>'Absorption Schedule'!#REF!</f>
        <v>#REF!</v>
      </c>
      <c r="T22" s="33" t="e">
        <f>'Absorption Schedule'!#REF!</f>
        <v>#REF!</v>
      </c>
      <c r="U22" s="33" t="e">
        <f>'Absorption Schedule'!#REF!</f>
        <v>#REF!</v>
      </c>
      <c r="V22" s="195" t="e">
        <f>'Absorption Schedule'!#REF!</f>
        <v>#REF!</v>
      </c>
      <c r="W22" s="33" t="e">
        <f>'Absorption Schedule'!#REF!</f>
        <v>#REF!</v>
      </c>
      <c r="X22" s="33" t="e">
        <f>'Absorption Schedule'!#REF!</f>
        <v>#REF!</v>
      </c>
      <c r="Y22" s="33" t="e">
        <f>'Absorption Schedule'!#REF!</f>
        <v>#REF!</v>
      </c>
      <c r="Z22" s="33" t="e">
        <f>'Absorption Schedule'!#REF!</f>
        <v>#REF!</v>
      </c>
      <c r="AA22" s="33" t="e">
        <f>'Absorption Schedule'!#REF!</f>
        <v>#REF!</v>
      </c>
      <c r="AB22" s="33" t="e">
        <f>'Absorption Schedule'!#REF!</f>
        <v>#REF!</v>
      </c>
      <c r="AC22" s="33" t="e">
        <f>'Absorption Schedule'!#REF!</f>
        <v>#REF!</v>
      </c>
      <c r="AD22" s="33" t="e">
        <f>'Absorption Schedule'!#REF!</f>
        <v>#REF!</v>
      </c>
      <c r="AE22" s="33" t="e">
        <f>'Absorption Schedule'!#REF!</f>
        <v>#REF!</v>
      </c>
      <c r="AF22" s="33" t="e">
        <f>'Absorption Schedule'!#REF!</f>
        <v>#REF!</v>
      </c>
      <c r="AG22" s="33" t="e">
        <f>'Absorption Schedule'!#REF!</f>
        <v>#REF!</v>
      </c>
      <c r="AH22" s="195" t="e">
        <f>'Absorption Schedule'!#REF!</f>
        <v>#REF!</v>
      </c>
      <c r="AI22" s="33"/>
      <c r="AJ22" s="33"/>
    </row>
    <row r="23" spans="3:36" x14ac:dyDescent="0.3">
      <c r="C23" s="33"/>
      <c r="E23" s="225" t="s">
        <v>56</v>
      </c>
      <c r="F23" s="230">
        <v>1E-3</v>
      </c>
      <c r="G23" s="230"/>
      <c r="H23" s="231"/>
      <c r="I23" s="232"/>
      <c r="J23" s="229"/>
      <c r="K23" s="33">
        <f>-$F$23*K18</f>
        <v>0</v>
      </c>
      <c r="L23" s="33">
        <f t="shared" ref="L23:AH23" si="7">-$F$23*L18</f>
        <v>0</v>
      </c>
      <c r="M23" s="33">
        <f t="shared" si="7"/>
        <v>0</v>
      </c>
      <c r="N23" s="33">
        <f t="shared" si="7"/>
        <v>0</v>
      </c>
      <c r="O23" s="33">
        <f t="shared" si="7"/>
        <v>0</v>
      </c>
      <c r="P23" s="33">
        <f t="shared" si="7"/>
        <v>0</v>
      </c>
      <c r="Q23" s="33">
        <f t="shared" si="7"/>
        <v>0</v>
      </c>
      <c r="R23" s="33">
        <f t="shared" si="7"/>
        <v>0</v>
      </c>
      <c r="S23" s="33">
        <f t="shared" si="7"/>
        <v>0</v>
      </c>
      <c r="T23" s="33">
        <f t="shared" si="7"/>
        <v>0</v>
      </c>
      <c r="U23" s="33">
        <f t="shared" si="7"/>
        <v>0</v>
      </c>
      <c r="V23" s="233">
        <f t="shared" si="7"/>
        <v>0</v>
      </c>
      <c r="W23" s="33">
        <f t="shared" si="7"/>
        <v>0</v>
      </c>
      <c r="X23" s="33">
        <f t="shared" si="7"/>
        <v>0</v>
      </c>
      <c r="Y23" s="33">
        <f t="shared" si="7"/>
        <v>0</v>
      </c>
      <c r="Z23" s="33">
        <f t="shared" si="7"/>
        <v>0</v>
      </c>
      <c r="AA23" s="33">
        <f t="shared" si="7"/>
        <v>0</v>
      </c>
      <c r="AB23" s="33">
        <f t="shared" si="7"/>
        <v>0</v>
      </c>
      <c r="AC23" s="33">
        <f t="shared" si="7"/>
        <v>0</v>
      </c>
      <c r="AD23" s="33">
        <f t="shared" si="7"/>
        <v>0</v>
      </c>
      <c r="AE23" s="33">
        <f t="shared" si="7"/>
        <v>0</v>
      </c>
      <c r="AF23" s="33">
        <f t="shared" si="7"/>
        <v>0</v>
      </c>
      <c r="AG23" s="33">
        <f t="shared" si="7"/>
        <v>0</v>
      </c>
      <c r="AH23" s="233">
        <f t="shared" si="7"/>
        <v>0</v>
      </c>
      <c r="AI23" s="33"/>
    </row>
    <row r="24" spans="3:36" x14ac:dyDescent="0.3">
      <c r="E24" s="196" t="s">
        <v>226</v>
      </c>
      <c r="F24" s="197">
        <v>6.6E-3</v>
      </c>
      <c r="G24" s="197"/>
      <c r="H24" s="198"/>
      <c r="I24" s="199"/>
      <c r="J24" s="234"/>
      <c r="K24" s="201">
        <f>-$F$24*K18</f>
        <v>0</v>
      </c>
      <c r="L24" s="201">
        <f t="shared" ref="L24:AH24" si="8">-$F$24*L18</f>
        <v>0</v>
      </c>
      <c r="M24" s="201">
        <f t="shared" si="8"/>
        <v>0</v>
      </c>
      <c r="N24" s="201">
        <f t="shared" si="8"/>
        <v>0</v>
      </c>
      <c r="O24" s="201">
        <f t="shared" si="8"/>
        <v>0</v>
      </c>
      <c r="P24" s="201">
        <f t="shared" si="8"/>
        <v>0</v>
      </c>
      <c r="Q24" s="201">
        <f t="shared" si="8"/>
        <v>0</v>
      </c>
      <c r="R24" s="201">
        <f t="shared" si="8"/>
        <v>0</v>
      </c>
      <c r="S24" s="201">
        <f t="shared" si="8"/>
        <v>0</v>
      </c>
      <c r="T24" s="201">
        <f t="shared" si="8"/>
        <v>0</v>
      </c>
      <c r="U24" s="201">
        <f t="shared" si="8"/>
        <v>0</v>
      </c>
      <c r="V24" s="233">
        <f t="shared" si="8"/>
        <v>0</v>
      </c>
      <c r="W24" s="33">
        <f t="shared" si="8"/>
        <v>0</v>
      </c>
      <c r="X24" s="33">
        <f t="shared" si="8"/>
        <v>0</v>
      </c>
      <c r="Y24" s="33">
        <f t="shared" si="8"/>
        <v>0</v>
      </c>
      <c r="Z24" s="33">
        <f t="shared" si="8"/>
        <v>0</v>
      </c>
      <c r="AA24" s="33">
        <f t="shared" si="8"/>
        <v>0</v>
      </c>
      <c r="AB24" s="33">
        <f t="shared" si="8"/>
        <v>0</v>
      </c>
      <c r="AC24" s="33">
        <f t="shared" si="8"/>
        <v>0</v>
      </c>
      <c r="AD24" s="33">
        <f t="shared" si="8"/>
        <v>0</v>
      </c>
      <c r="AE24" s="33">
        <f t="shared" si="8"/>
        <v>0</v>
      </c>
      <c r="AF24" s="33">
        <f t="shared" si="8"/>
        <v>0</v>
      </c>
      <c r="AG24" s="33">
        <f t="shared" si="8"/>
        <v>0</v>
      </c>
      <c r="AH24" s="233">
        <f t="shared" si="8"/>
        <v>0</v>
      </c>
      <c r="AI24" s="33"/>
    </row>
    <row r="25" spans="3:36" x14ac:dyDescent="0.3">
      <c r="E25" s="190" t="s">
        <v>198</v>
      </c>
      <c r="F25" s="235"/>
      <c r="G25" s="235"/>
      <c r="H25" s="236">
        <v>0</v>
      </c>
      <c r="I25" s="194">
        <v>0</v>
      </c>
      <c r="J25" s="237">
        <v>0</v>
      </c>
      <c r="K25" s="194" t="e">
        <f>SUM(K20,K22:K24)</f>
        <v>#DIV/0!</v>
      </c>
      <c r="L25" s="194" t="e">
        <f t="shared" ref="L25:AH25" si="9">SUM(L20,L22:L24)</f>
        <v>#DIV/0!</v>
      </c>
      <c r="M25" s="194" t="e">
        <f t="shared" si="9"/>
        <v>#DIV/0!</v>
      </c>
      <c r="N25" s="194" t="e">
        <f t="shared" si="9"/>
        <v>#DIV/0!</v>
      </c>
      <c r="O25" s="194" t="e">
        <f t="shared" si="9"/>
        <v>#DIV/0!</v>
      </c>
      <c r="P25" s="194" t="e">
        <f t="shared" si="9"/>
        <v>#DIV/0!</v>
      </c>
      <c r="Q25" s="194" t="e">
        <f t="shared" si="9"/>
        <v>#DIV/0!</v>
      </c>
      <c r="R25" s="194" t="e">
        <f t="shared" si="9"/>
        <v>#DIV/0!</v>
      </c>
      <c r="S25" s="194" t="e">
        <f t="shared" si="9"/>
        <v>#DIV/0!</v>
      </c>
      <c r="T25" s="194" t="e">
        <f t="shared" si="9"/>
        <v>#DIV/0!</v>
      </c>
      <c r="U25" s="194" t="e">
        <f t="shared" si="9"/>
        <v>#DIV/0!</v>
      </c>
      <c r="V25" s="195" t="e">
        <f t="shared" si="9"/>
        <v>#DIV/0!</v>
      </c>
      <c r="W25" s="194" t="e">
        <f t="shared" si="9"/>
        <v>#DIV/0!</v>
      </c>
      <c r="X25" s="194" t="e">
        <f t="shared" si="9"/>
        <v>#DIV/0!</v>
      </c>
      <c r="Y25" s="194" t="e">
        <f t="shared" si="9"/>
        <v>#DIV/0!</v>
      </c>
      <c r="Z25" s="194" t="e">
        <f t="shared" si="9"/>
        <v>#DIV/0!</v>
      </c>
      <c r="AA25" s="194" t="e">
        <f t="shared" si="9"/>
        <v>#DIV/0!</v>
      </c>
      <c r="AB25" s="194" t="e">
        <f t="shared" si="9"/>
        <v>#DIV/0!</v>
      </c>
      <c r="AC25" s="194" t="e">
        <f t="shared" si="9"/>
        <v>#DIV/0!</v>
      </c>
      <c r="AD25" s="194" t="e">
        <f t="shared" si="9"/>
        <v>#DIV/0!</v>
      </c>
      <c r="AE25" s="194" t="e">
        <f t="shared" si="9"/>
        <v>#DIV/0!</v>
      </c>
      <c r="AF25" s="194" t="e">
        <f t="shared" si="9"/>
        <v>#DIV/0!</v>
      </c>
      <c r="AG25" s="194" t="e">
        <f t="shared" si="9"/>
        <v>#DIV/0!</v>
      </c>
      <c r="AH25" s="195" t="e">
        <f t="shared" si="9"/>
        <v>#DIV/0!</v>
      </c>
      <c r="AI25" s="33"/>
    </row>
    <row r="26" spans="3:36" x14ac:dyDescent="0.3">
      <c r="E26" s="196"/>
      <c r="F26" s="238"/>
      <c r="G26" s="238"/>
      <c r="H26" s="239"/>
      <c r="I26" s="238"/>
      <c r="J26" s="240"/>
      <c r="K26" s="201"/>
      <c r="L26" s="201"/>
      <c r="M26" s="201"/>
      <c r="N26" s="201"/>
      <c r="O26" s="201"/>
      <c r="P26" s="201"/>
      <c r="Q26" s="201"/>
      <c r="R26" s="201"/>
      <c r="S26" s="201"/>
      <c r="T26" s="201"/>
      <c r="U26" s="201"/>
      <c r="V26" s="241"/>
      <c r="W26" s="201"/>
      <c r="X26" s="201"/>
      <c r="Y26" s="201"/>
      <c r="Z26" s="201"/>
      <c r="AA26" s="201"/>
      <c r="AB26" s="201"/>
      <c r="AC26" s="201"/>
      <c r="AD26" s="201"/>
      <c r="AE26" s="201"/>
      <c r="AF26" s="201"/>
      <c r="AG26" s="201"/>
      <c r="AH26" s="242"/>
      <c r="AI26" s="33"/>
    </row>
    <row r="27" spans="3:36" x14ac:dyDescent="0.3">
      <c r="E27" s="203" t="s">
        <v>216</v>
      </c>
      <c r="F27" s="204"/>
      <c r="G27" s="204"/>
      <c r="H27" s="243">
        <v>0</v>
      </c>
      <c r="I27" s="244">
        <v>0</v>
      </c>
      <c r="J27" s="245">
        <v>0</v>
      </c>
      <c r="K27" s="246" t="e">
        <f>SUM(K25,K18)</f>
        <v>#DIV/0!</v>
      </c>
      <c r="L27" s="246" t="e">
        <f t="shared" ref="L27:AH27" si="10">SUM(L25,L18)</f>
        <v>#DIV/0!</v>
      </c>
      <c r="M27" s="246" t="e">
        <f t="shared" si="10"/>
        <v>#DIV/0!</v>
      </c>
      <c r="N27" s="246" t="e">
        <f t="shared" si="10"/>
        <v>#DIV/0!</v>
      </c>
      <c r="O27" s="246" t="e">
        <f t="shared" si="10"/>
        <v>#DIV/0!</v>
      </c>
      <c r="P27" s="246" t="e">
        <f t="shared" si="10"/>
        <v>#DIV/0!</v>
      </c>
      <c r="Q27" s="246" t="e">
        <f t="shared" si="10"/>
        <v>#DIV/0!</v>
      </c>
      <c r="R27" s="246" t="e">
        <f t="shared" si="10"/>
        <v>#DIV/0!</v>
      </c>
      <c r="S27" s="246" t="e">
        <f t="shared" si="10"/>
        <v>#DIV/0!</v>
      </c>
      <c r="T27" s="246" t="e">
        <f t="shared" si="10"/>
        <v>#DIV/0!</v>
      </c>
      <c r="U27" s="246" t="e">
        <f t="shared" si="10"/>
        <v>#DIV/0!</v>
      </c>
      <c r="V27" s="247" t="e">
        <f t="shared" si="10"/>
        <v>#DIV/0!</v>
      </c>
      <c r="W27" s="246" t="e">
        <f t="shared" si="10"/>
        <v>#DIV/0!</v>
      </c>
      <c r="X27" s="246" t="e">
        <f t="shared" si="10"/>
        <v>#DIV/0!</v>
      </c>
      <c r="Y27" s="246" t="e">
        <f t="shared" si="10"/>
        <v>#DIV/0!</v>
      </c>
      <c r="Z27" s="246" t="e">
        <f t="shared" si="10"/>
        <v>#DIV/0!</v>
      </c>
      <c r="AA27" s="246" t="e">
        <f t="shared" si="10"/>
        <v>#DIV/0!</v>
      </c>
      <c r="AB27" s="246" t="e">
        <f t="shared" si="10"/>
        <v>#DIV/0!</v>
      </c>
      <c r="AC27" s="246" t="e">
        <f t="shared" si="10"/>
        <v>#DIV/0!</v>
      </c>
      <c r="AD27" s="246" t="e">
        <f t="shared" si="10"/>
        <v>#DIV/0!</v>
      </c>
      <c r="AE27" s="246" t="e">
        <f t="shared" si="10"/>
        <v>#DIV/0!</v>
      </c>
      <c r="AF27" s="246" t="e">
        <f t="shared" si="10"/>
        <v>#DIV/0!</v>
      </c>
      <c r="AG27" s="246" t="e">
        <f t="shared" si="10"/>
        <v>#DIV/0!</v>
      </c>
      <c r="AH27" s="247" t="e">
        <f t="shared" si="10"/>
        <v>#DIV/0!</v>
      </c>
      <c r="AI27" s="33"/>
    </row>
    <row r="28" spans="3:36" x14ac:dyDescent="0.3">
      <c r="E28" s="213"/>
      <c r="F28" s="214"/>
      <c r="G28" s="214"/>
      <c r="H28" s="248"/>
      <c r="I28" s="214"/>
      <c r="J28" s="237"/>
      <c r="K28" s="194"/>
      <c r="L28" s="194"/>
      <c r="M28" s="194"/>
      <c r="N28" s="194"/>
      <c r="O28" s="194"/>
      <c r="P28" s="194"/>
      <c r="Q28" s="194"/>
      <c r="R28" s="194"/>
      <c r="S28" s="194"/>
      <c r="T28" s="194"/>
      <c r="U28" s="194"/>
      <c r="V28" s="249"/>
      <c r="W28" s="194"/>
      <c r="X28" s="194"/>
      <c r="Y28" s="194"/>
      <c r="Z28" s="194"/>
      <c r="AA28" s="194"/>
      <c r="AB28" s="194"/>
      <c r="AC28" s="194"/>
      <c r="AD28" s="194"/>
      <c r="AE28" s="194"/>
      <c r="AF28" s="194"/>
      <c r="AG28" s="194"/>
      <c r="AH28" s="249"/>
      <c r="AI28" s="33"/>
    </row>
    <row r="29" spans="3:36" x14ac:dyDescent="0.3">
      <c r="E29" s="307" t="s">
        <v>239</v>
      </c>
      <c r="F29" s="718">
        <f>IFERROR(INDEX('Other Income Assumptions'!$D:$D, MATCH(E29, 'Other Income Assumptions'!$C:$C, 0)), "")</f>
        <v>0</v>
      </c>
      <c r="G29" s="250"/>
      <c r="H29" s="251"/>
      <c r="I29" s="252"/>
      <c r="J29" s="253"/>
      <c r="K29" s="254">
        <f>SUMIF('Other Income Assumptions'!$C:$C,$E$29,'Other Income Assumptions'!D:D)</f>
        <v>0</v>
      </c>
      <c r="L29" s="254">
        <f>SUMIF('Other Income Assumptions'!$C:$C,$E$29,'Other Income Assumptions'!E:E)</f>
        <v>0</v>
      </c>
      <c r="M29" s="254">
        <f>SUMIF('Other Income Assumptions'!$C:$C,$E$29,'Other Income Assumptions'!F:F)</f>
        <v>0</v>
      </c>
      <c r="N29" s="254">
        <f>SUMIF('Other Income Assumptions'!$C:$C,$E$29,'Other Income Assumptions'!G:G)</f>
        <v>0</v>
      </c>
      <c r="O29" s="254">
        <f>SUMIF('Other Income Assumptions'!$C:$C,$E$29,'Other Income Assumptions'!H:H)</f>
        <v>0</v>
      </c>
      <c r="P29" s="254">
        <f>SUMIF('Other Income Assumptions'!$C:$C,$E$29,'Other Income Assumptions'!I:I)</f>
        <v>0</v>
      </c>
      <c r="Q29" s="254">
        <f>SUMIF('Other Income Assumptions'!$C:$C,$E$29,'Other Income Assumptions'!J:J)</f>
        <v>0</v>
      </c>
      <c r="R29" s="254">
        <f>SUMIF('Other Income Assumptions'!$C:$C,$E$29,'Other Income Assumptions'!K:K)</f>
        <v>0</v>
      </c>
      <c r="S29" s="254">
        <f>SUMIF('Other Income Assumptions'!$C:$C,$E$29,'Other Income Assumptions'!L:L)</f>
        <v>0</v>
      </c>
      <c r="T29" s="254">
        <f>SUMIF('Other Income Assumptions'!$C:$C,$E$29,'Other Income Assumptions'!M:M)</f>
        <v>0</v>
      </c>
      <c r="U29" s="254">
        <f>SUMIF('Other Income Assumptions'!$C:$C,$E$29,'Other Income Assumptions'!N:N)</f>
        <v>0</v>
      </c>
      <c r="V29" s="195">
        <f>SUMIF('Other Income Assumptions'!$C:$C,$E$29,'Other Income Assumptions'!O:O)</f>
        <v>0</v>
      </c>
      <c r="W29" s="254"/>
      <c r="X29" s="254"/>
      <c r="Y29" s="254"/>
      <c r="Z29" s="254"/>
      <c r="AA29" s="254"/>
      <c r="AB29" s="254"/>
      <c r="AC29" s="254"/>
      <c r="AD29" s="254"/>
      <c r="AE29" s="254"/>
      <c r="AF29" s="254"/>
      <c r="AG29" s="254"/>
      <c r="AH29" s="195"/>
      <c r="AI29" s="33"/>
    </row>
    <row r="30" spans="3:36" x14ac:dyDescent="0.3">
      <c r="E30" s="307" t="s">
        <v>458</v>
      </c>
      <c r="F30" s="719" t="str">
        <f>IFERROR(INDEX('Other Income Assumptions'!$D:$D, MATCH(E30, 'Other Income Assumptions'!$C:$C, 0)), "")</f>
        <v/>
      </c>
      <c r="G30" s="255"/>
      <c r="H30" s="256"/>
      <c r="I30" s="257"/>
      <c r="J30" s="229"/>
      <c r="K30" s="8">
        <f>SUMIF('Other Income Assumptions'!$C:$C,$E$30,'Other Income Assumptions'!D:D)</f>
        <v>0</v>
      </c>
      <c r="L30" s="8">
        <f>SUMIF('Other Income Assumptions'!$C:$C,$E$30,'Other Income Assumptions'!E:E)</f>
        <v>0</v>
      </c>
      <c r="M30" s="8">
        <f>SUMIF('Other Income Assumptions'!$C:$C,$E$30,'Other Income Assumptions'!F:F)</f>
        <v>0</v>
      </c>
      <c r="N30" s="8">
        <f>SUMIF('Other Income Assumptions'!$C:$C,$E$30,'Other Income Assumptions'!G:G)</f>
        <v>0</v>
      </c>
      <c r="O30" s="8">
        <f>SUMIF('Other Income Assumptions'!$C:$C,$E$30,'Other Income Assumptions'!H:H)</f>
        <v>0</v>
      </c>
      <c r="P30" s="8">
        <f>SUMIF('Other Income Assumptions'!$C:$C,$E$30,'Other Income Assumptions'!I:I)</f>
        <v>0</v>
      </c>
      <c r="Q30" s="8">
        <f>SUMIF('Other Income Assumptions'!$C:$C,$E$30,'Other Income Assumptions'!J:J)</f>
        <v>0</v>
      </c>
      <c r="R30" s="8">
        <f>SUMIF('Other Income Assumptions'!$C:$C,$E$30,'Other Income Assumptions'!K:K)</f>
        <v>0</v>
      </c>
      <c r="S30" s="8">
        <f>SUMIF('Other Income Assumptions'!$C:$C,$E$30,'Other Income Assumptions'!L:L)</f>
        <v>0</v>
      </c>
      <c r="T30" s="8">
        <f>SUMIF('Other Income Assumptions'!$C:$C,$E$30,'Other Income Assumptions'!M:M)</f>
        <v>0</v>
      </c>
      <c r="U30" s="8">
        <f>SUMIF('Other Income Assumptions'!$C:$C,$E$30,'Other Income Assumptions'!N:N)</f>
        <v>0</v>
      </c>
      <c r="V30" s="233">
        <f>SUMIF('Other Income Assumptions'!$C:$C,$E$30,'Other Income Assumptions'!O:O)</f>
        <v>0</v>
      </c>
      <c r="W30" s="8"/>
      <c r="X30" s="8"/>
      <c r="Y30" s="8"/>
      <c r="Z30" s="8"/>
      <c r="AA30" s="8"/>
      <c r="AB30" s="8"/>
      <c r="AC30" s="8"/>
      <c r="AD30" s="8"/>
      <c r="AE30" s="8"/>
      <c r="AF30" s="8"/>
      <c r="AG30" s="8"/>
      <c r="AH30" s="233"/>
      <c r="AI30" s="33"/>
    </row>
    <row r="31" spans="3:36" x14ac:dyDescent="0.3">
      <c r="E31" s="307" t="s">
        <v>246</v>
      </c>
      <c r="F31" s="719">
        <f>IFERROR(INDEX('Other Income Assumptions'!$D:$D, MATCH(E31, 'Other Income Assumptions'!$C:$C, 0)), "")</f>
        <v>0</v>
      </c>
      <c r="G31" s="255"/>
      <c r="H31" s="256"/>
      <c r="I31" s="257"/>
      <c r="J31" s="229"/>
      <c r="K31" s="8">
        <f>SUMIF('Other Income Assumptions'!$C:$C,$E$31,'Other Income Assumptions'!D:D)</f>
        <v>0</v>
      </c>
      <c r="L31" s="8">
        <f>SUMIF('Other Income Assumptions'!$C:$C,$E$31,'Other Income Assumptions'!E:E)</f>
        <v>0</v>
      </c>
      <c r="M31" s="8">
        <f>SUMIF('Other Income Assumptions'!$C:$C,$E$31,'Other Income Assumptions'!F:F)</f>
        <v>0</v>
      </c>
      <c r="N31" s="8">
        <f>SUMIF('Other Income Assumptions'!$C:$C,$E$31,'Other Income Assumptions'!G:G)</f>
        <v>0</v>
      </c>
      <c r="O31" s="8">
        <f>SUMIF('Other Income Assumptions'!$C:$C,$E$31,'Other Income Assumptions'!H:H)</f>
        <v>0</v>
      </c>
      <c r="P31" s="8">
        <f>SUMIF('Other Income Assumptions'!$C:$C,$E$31,'Other Income Assumptions'!I:I)</f>
        <v>0</v>
      </c>
      <c r="Q31" s="8">
        <f>SUMIF('Other Income Assumptions'!$C:$C,$E$31,'Other Income Assumptions'!J:J)</f>
        <v>0</v>
      </c>
      <c r="R31" s="8">
        <f>SUMIF('Other Income Assumptions'!$C:$C,$E$31,'Other Income Assumptions'!K:K)</f>
        <v>0</v>
      </c>
      <c r="S31" s="8">
        <f>SUMIF('Other Income Assumptions'!$C:$C,$E$31,'Other Income Assumptions'!L:L)</f>
        <v>0</v>
      </c>
      <c r="T31" s="8">
        <f>SUMIF('Other Income Assumptions'!$C:$C,$E$31,'Other Income Assumptions'!M:M)</f>
        <v>0</v>
      </c>
      <c r="U31" s="8">
        <f>SUMIF('Other Income Assumptions'!$C:$C,$E$31,'Other Income Assumptions'!N:N)</f>
        <v>0</v>
      </c>
      <c r="V31" s="233">
        <f>SUMIF('Other Income Assumptions'!$C:$C,$E$31,'Other Income Assumptions'!O:O)</f>
        <v>0</v>
      </c>
      <c r="W31" s="8"/>
      <c r="X31" s="8"/>
      <c r="Y31" s="8"/>
      <c r="Z31" s="8"/>
      <c r="AA31" s="8"/>
      <c r="AB31" s="8"/>
      <c r="AC31" s="8"/>
      <c r="AD31" s="8"/>
      <c r="AE31" s="8"/>
      <c r="AF31" s="8"/>
      <c r="AG31" s="8"/>
      <c r="AH31" s="233"/>
      <c r="AI31" s="33"/>
    </row>
    <row r="32" spans="3:36" x14ac:dyDescent="0.3">
      <c r="E32" s="307" t="s">
        <v>486</v>
      </c>
      <c r="F32" s="719" t="str">
        <f>IFERROR(INDEX('Other Income Assumptions'!$D:$D, MATCH(E32, 'Other Income Assumptions'!$C:$C, 0)), "")</f>
        <v/>
      </c>
      <c r="G32" s="255"/>
      <c r="H32" s="256"/>
      <c r="I32" s="257"/>
      <c r="J32" s="229"/>
      <c r="K32" s="8">
        <f>SUMIF('Other Income Assumptions'!$C:$C,$E$32,'Other Income Assumptions'!D:D)</f>
        <v>0</v>
      </c>
      <c r="L32" s="8">
        <f>SUMIF('Other Income Assumptions'!$C:$C,$E$32,'Other Income Assumptions'!E:E)</f>
        <v>0</v>
      </c>
      <c r="M32" s="8">
        <f>SUMIF('Other Income Assumptions'!$C:$C,$E$32,'Other Income Assumptions'!F:F)</f>
        <v>0</v>
      </c>
      <c r="N32" s="8">
        <f>SUMIF('Other Income Assumptions'!$C:$C,$E$32,'Other Income Assumptions'!G:G)</f>
        <v>0</v>
      </c>
      <c r="O32" s="8">
        <f>SUMIF('Other Income Assumptions'!$C:$C,$E$32,'Other Income Assumptions'!H:H)</f>
        <v>0</v>
      </c>
      <c r="P32" s="8">
        <f>SUMIF('Other Income Assumptions'!$C:$C,$E$32,'Other Income Assumptions'!I:I)</f>
        <v>0</v>
      </c>
      <c r="Q32" s="8">
        <f>SUMIF('Other Income Assumptions'!$C:$C,$E$32,'Other Income Assumptions'!J:J)</f>
        <v>0</v>
      </c>
      <c r="R32" s="8">
        <f>SUMIF('Other Income Assumptions'!$C:$C,$E$32,'Other Income Assumptions'!K:K)</f>
        <v>0</v>
      </c>
      <c r="S32" s="8">
        <f>SUMIF('Other Income Assumptions'!$C:$C,$E$32,'Other Income Assumptions'!L:L)</f>
        <v>0</v>
      </c>
      <c r="T32" s="8">
        <f>SUMIF('Other Income Assumptions'!$C:$C,$E$32,'Other Income Assumptions'!M:M)</f>
        <v>0</v>
      </c>
      <c r="U32" s="8">
        <f>SUMIF('Other Income Assumptions'!$C:$C,$E$32,'Other Income Assumptions'!N:N)</f>
        <v>0</v>
      </c>
      <c r="V32" s="233">
        <f>SUMIF('Other Income Assumptions'!$C:$C,$E$32,'Other Income Assumptions'!O:O)</f>
        <v>0</v>
      </c>
      <c r="W32" s="8"/>
      <c r="X32" s="8"/>
      <c r="Y32" s="8"/>
      <c r="Z32" s="8"/>
      <c r="AA32" s="8"/>
      <c r="AB32" s="8"/>
      <c r="AC32" s="8"/>
      <c r="AD32" s="8"/>
      <c r="AE32" s="8"/>
      <c r="AF32" s="8"/>
      <c r="AG32" s="8"/>
      <c r="AH32" s="233"/>
      <c r="AI32" s="33"/>
    </row>
    <row r="33" spans="5:35" x14ac:dyDescent="0.3">
      <c r="E33" s="307" t="s">
        <v>63</v>
      </c>
      <c r="F33" s="719" t="str">
        <f>IFERROR(INDEX('Other Income Assumptions'!$D:$D, MATCH(E33, 'Other Income Assumptions'!$C:$C, 0)), "")</f>
        <v/>
      </c>
      <c r="G33" s="255"/>
      <c r="H33" s="256"/>
      <c r="I33" s="257"/>
      <c r="J33" s="229"/>
      <c r="K33" s="8">
        <f>SUMIF('Other Income Assumptions'!$C:$C,$E$33,'Other Income Assumptions'!D:D)</f>
        <v>0</v>
      </c>
      <c r="L33" s="8">
        <f>SUMIF('Other Income Assumptions'!$C:$C,$E$33,'Other Income Assumptions'!E:E)</f>
        <v>0</v>
      </c>
      <c r="M33" s="8">
        <f>SUMIF('Other Income Assumptions'!$C:$C,$E$33,'Other Income Assumptions'!F:F)</f>
        <v>0</v>
      </c>
      <c r="N33" s="8">
        <f>SUMIF('Other Income Assumptions'!$C:$C,$E$33,'Other Income Assumptions'!G:G)</f>
        <v>0</v>
      </c>
      <c r="O33" s="8">
        <f>SUMIF('Other Income Assumptions'!$C:$C,$E$33,'Other Income Assumptions'!H:H)</f>
        <v>0</v>
      </c>
      <c r="P33" s="8">
        <f>SUMIF('Other Income Assumptions'!$C:$C,$E$33,'Other Income Assumptions'!I:I)</f>
        <v>0</v>
      </c>
      <c r="Q33" s="8">
        <f>SUMIF('Other Income Assumptions'!$C:$C,$E$33,'Other Income Assumptions'!J:J)</f>
        <v>0</v>
      </c>
      <c r="R33" s="8">
        <f>SUMIF('Other Income Assumptions'!$C:$C,$E$33,'Other Income Assumptions'!K:K)</f>
        <v>0</v>
      </c>
      <c r="S33" s="8">
        <f>SUMIF('Other Income Assumptions'!$C:$C,$E$33,'Other Income Assumptions'!L:L)</f>
        <v>0</v>
      </c>
      <c r="T33" s="8">
        <f>SUMIF('Other Income Assumptions'!$C:$C,$E$33,'Other Income Assumptions'!M:M)</f>
        <v>0</v>
      </c>
      <c r="U33" s="8">
        <f>SUMIF('Other Income Assumptions'!$C:$C,$E$33,'Other Income Assumptions'!N:N)</f>
        <v>0</v>
      </c>
      <c r="V33" s="233">
        <f>SUMIF('Other Income Assumptions'!$C:$C,$E$33,'Other Income Assumptions'!O:O)</f>
        <v>0</v>
      </c>
      <c r="W33" s="8"/>
      <c r="X33" s="8"/>
      <c r="Y33" s="8"/>
      <c r="Z33" s="8"/>
      <c r="AA33" s="8"/>
      <c r="AB33" s="8"/>
      <c r="AC33" s="8"/>
      <c r="AD33" s="8"/>
      <c r="AE33" s="8"/>
      <c r="AF33" s="8"/>
      <c r="AG33" s="8"/>
      <c r="AH33" s="233"/>
      <c r="AI33" s="33"/>
    </row>
    <row r="34" spans="5:35" x14ac:dyDescent="0.3">
      <c r="E34" s="307" t="s">
        <v>227</v>
      </c>
      <c r="F34" s="719" t="str">
        <f>IFERROR(INDEX('Other Income Assumptions'!$D:$D, MATCH(E34, 'Other Income Assumptions'!$C:$C, 0)), "")</f>
        <v/>
      </c>
      <c r="G34" s="255"/>
      <c r="H34" s="256"/>
      <c r="I34" s="257"/>
      <c r="J34" s="229"/>
      <c r="K34" s="8">
        <f>SUMIF('Other Income Assumptions'!$C:$C,$E$34,'Other Income Assumptions'!D:D)</f>
        <v>0</v>
      </c>
      <c r="L34" s="8">
        <f>SUMIF('Other Income Assumptions'!$C:$C,$E$34,'Other Income Assumptions'!E:E)</f>
        <v>0</v>
      </c>
      <c r="M34" s="8">
        <f>SUMIF('Other Income Assumptions'!$C:$C,$E$34,'Other Income Assumptions'!F:F)</f>
        <v>0</v>
      </c>
      <c r="N34" s="8">
        <f>SUMIF('Other Income Assumptions'!$C:$C,$E$34,'Other Income Assumptions'!G:G)</f>
        <v>0</v>
      </c>
      <c r="O34" s="8">
        <f>SUMIF('Other Income Assumptions'!$C:$C,$E$34,'Other Income Assumptions'!H:H)</f>
        <v>0</v>
      </c>
      <c r="P34" s="8">
        <f>SUMIF('Other Income Assumptions'!$C:$C,$E$34,'Other Income Assumptions'!I:I)</f>
        <v>0</v>
      </c>
      <c r="Q34" s="8">
        <f>SUMIF('Other Income Assumptions'!$C:$C,$E$34,'Other Income Assumptions'!J:J)</f>
        <v>0</v>
      </c>
      <c r="R34" s="8">
        <f>SUMIF('Other Income Assumptions'!$C:$C,$E$34,'Other Income Assumptions'!K:K)</f>
        <v>0</v>
      </c>
      <c r="S34" s="8">
        <f>SUMIF('Other Income Assumptions'!$C:$C,$E$34,'Other Income Assumptions'!L:L)</f>
        <v>0</v>
      </c>
      <c r="T34" s="8">
        <f>SUMIF('Other Income Assumptions'!$C:$C,$E$34,'Other Income Assumptions'!M:M)</f>
        <v>0</v>
      </c>
      <c r="U34" s="8">
        <f>SUMIF('Other Income Assumptions'!$C:$C,$E$34,'Other Income Assumptions'!N:N)</f>
        <v>0</v>
      </c>
      <c r="V34" s="233">
        <f>SUMIF('Other Income Assumptions'!$C:$C,$E$34,'Other Income Assumptions'!O:O)</f>
        <v>0</v>
      </c>
      <c r="W34" s="8"/>
      <c r="X34" s="8"/>
      <c r="Y34" s="8"/>
      <c r="Z34" s="8"/>
      <c r="AA34" s="8"/>
      <c r="AB34" s="8"/>
      <c r="AC34" s="8"/>
      <c r="AD34" s="8"/>
      <c r="AE34" s="8"/>
      <c r="AF34" s="8"/>
      <c r="AG34" s="8"/>
      <c r="AH34" s="233"/>
      <c r="AI34" s="33"/>
    </row>
    <row r="35" spans="5:35" x14ac:dyDescent="0.3">
      <c r="E35" s="307" t="s">
        <v>243</v>
      </c>
      <c r="F35" s="719" t="str">
        <f>IFERROR(INDEX('Other Income Assumptions'!$D:$D, MATCH(E35, 'Other Income Assumptions'!$C:$C, 0)), "")</f>
        <v/>
      </c>
      <c r="G35" s="255"/>
      <c r="H35" s="256"/>
      <c r="I35" s="257"/>
      <c r="J35" s="229"/>
      <c r="K35" s="8">
        <f>SUMIF('Other Income Assumptions'!$C:$C,$E$35,'Other Income Assumptions'!D:D)</f>
        <v>0</v>
      </c>
      <c r="L35" s="8">
        <f>SUMIF('Other Income Assumptions'!$C:$C,$E$35,'Other Income Assumptions'!E:E)</f>
        <v>0</v>
      </c>
      <c r="M35" s="8">
        <f>SUMIF('Other Income Assumptions'!$C:$C,$E$35,'Other Income Assumptions'!F:F)</f>
        <v>0</v>
      </c>
      <c r="N35" s="8">
        <f>SUMIF('Other Income Assumptions'!$C:$C,$E$35,'Other Income Assumptions'!G:G)</f>
        <v>0</v>
      </c>
      <c r="O35" s="8">
        <f>SUMIF('Other Income Assumptions'!$C:$C,$E$35,'Other Income Assumptions'!H:H)</f>
        <v>0</v>
      </c>
      <c r="P35" s="8">
        <f>SUMIF('Other Income Assumptions'!$C:$C,$E$35,'Other Income Assumptions'!I:I)</f>
        <v>0</v>
      </c>
      <c r="Q35" s="8">
        <f>SUMIF('Other Income Assumptions'!$C:$C,$E$35,'Other Income Assumptions'!J:J)</f>
        <v>0</v>
      </c>
      <c r="R35" s="8">
        <f>SUMIF('Other Income Assumptions'!$C:$C,$E$35,'Other Income Assumptions'!K:K)</f>
        <v>0</v>
      </c>
      <c r="S35" s="8">
        <f>SUMIF('Other Income Assumptions'!$C:$C,$E$35,'Other Income Assumptions'!L:L)</f>
        <v>0</v>
      </c>
      <c r="T35" s="8">
        <f>SUMIF('Other Income Assumptions'!$C:$C,$E$35,'Other Income Assumptions'!M:M)</f>
        <v>0</v>
      </c>
      <c r="U35" s="8">
        <f>SUMIF('Other Income Assumptions'!$C:$C,$E$35,'Other Income Assumptions'!N:N)</f>
        <v>0</v>
      </c>
      <c r="V35" s="233">
        <f>SUMIF('Other Income Assumptions'!$C:$C,$E$35,'Other Income Assumptions'!O:O)</f>
        <v>0</v>
      </c>
      <c r="W35" s="8"/>
      <c r="X35" s="8"/>
      <c r="Y35" s="8"/>
      <c r="Z35" s="8"/>
      <c r="AA35" s="8"/>
      <c r="AB35" s="8"/>
      <c r="AC35" s="8"/>
      <c r="AD35" s="8"/>
      <c r="AE35" s="8"/>
      <c r="AF35" s="8"/>
      <c r="AG35" s="8"/>
      <c r="AH35" s="233"/>
      <c r="AI35" s="33"/>
    </row>
    <row r="36" spans="5:35" x14ac:dyDescent="0.3">
      <c r="E36" s="307" t="s">
        <v>456</v>
      </c>
      <c r="F36" s="719" t="str">
        <f>IFERROR(INDEX('Other Income Assumptions'!$D:$D, MATCH(E36, 'Other Income Assumptions'!$C:$C, 0)), "")</f>
        <v/>
      </c>
      <c r="G36" s="255"/>
      <c r="H36" s="256"/>
      <c r="I36" s="257"/>
      <c r="J36" s="229"/>
      <c r="K36" s="8">
        <f>SUMIF('Other Income Assumptions'!$C:$C,$E$36,'Other Income Assumptions'!D:D)</f>
        <v>0</v>
      </c>
      <c r="L36" s="8">
        <f>SUMIF('Other Income Assumptions'!$C:$C,$E$36,'Other Income Assumptions'!E:E)</f>
        <v>0</v>
      </c>
      <c r="M36" s="8">
        <f>SUMIF('Other Income Assumptions'!$C:$C,$E$36,'Other Income Assumptions'!F:F)</f>
        <v>0</v>
      </c>
      <c r="N36" s="8">
        <f>SUMIF('Other Income Assumptions'!$C:$C,$E$36,'Other Income Assumptions'!G:G)</f>
        <v>0</v>
      </c>
      <c r="O36" s="8">
        <f>SUMIF('Other Income Assumptions'!$C:$C,$E$36,'Other Income Assumptions'!H:H)</f>
        <v>0</v>
      </c>
      <c r="P36" s="8">
        <f>SUMIF('Other Income Assumptions'!$C:$C,$E$36,'Other Income Assumptions'!I:I)</f>
        <v>0</v>
      </c>
      <c r="Q36" s="8">
        <f>SUMIF('Other Income Assumptions'!$C:$C,$E$36,'Other Income Assumptions'!J:J)</f>
        <v>0</v>
      </c>
      <c r="R36" s="8">
        <f>SUMIF('Other Income Assumptions'!$C:$C,$E$36,'Other Income Assumptions'!K:K)</f>
        <v>0</v>
      </c>
      <c r="S36" s="8">
        <f>SUMIF('Other Income Assumptions'!$C:$C,$E$36,'Other Income Assumptions'!L:L)</f>
        <v>0</v>
      </c>
      <c r="T36" s="8">
        <f>SUMIF('Other Income Assumptions'!$C:$C,$E$36,'Other Income Assumptions'!M:M)</f>
        <v>0</v>
      </c>
      <c r="U36" s="8">
        <f>SUMIF('Other Income Assumptions'!$C:$C,$E$36,'Other Income Assumptions'!N:N)</f>
        <v>0</v>
      </c>
      <c r="V36" s="233">
        <f>SUMIF('Other Income Assumptions'!$C:$C,$E$36,'Other Income Assumptions'!O:O)</f>
        <v>0</v>
      </c>
      <c r="W36" s="8"/>
      <c r="X36" s="8"/>
      <c r="Y36" s="8"/>
      <c r="Z36" s="8"/>
      <c r="AA36" s="8"/>
      <c r="AB36" s="8"/>
      <c r="AC36" s="8"/>
      <c r="AD36" s="8"/>
      <c r="AE36" s="8"/>
      <c r="AF36" s="8"/>
      <c r="AG36" s="8"/>
      <c r="AH36" s="233"/>
      <c r="AI36" s="33"/>
    </row>
    <row r="37" spans="5:35" x14ac:dyDescent="0.3">
      <c r="E37" s="307" t="s">
        <v>244</v>
      </c>
      <c r="F37" s="719" t="str">
        <f>IFERROR(INDEX('Other Income Assumptions'!$D:$D, MATCH(E37, 'Other Income Assumptions'!$C:$C, 0)), "")</f>
        <v/>
      </c>
      <c r="G37" s="258"/>
      <c r="H37" s="259"/>
      <c r="I37" s="260"/>
      <c r="J37" s="229"/>
      <c r="K37" s="8">
        <f>SUMIF('Other Income Assumptions'!$C:$C,$E$37,'Other Income Assumptions'!D:D)</f>
        <v>0</v>
      </c>
      <c r="L37" s="8">
        <f>SUMIF('Other Income Assumptions'!$C:$C,$E$37,'Other Income Assumptions'!E:E)</f>
        <v>0</v>
      </c>
      <c r="M37" s="8">
        <f>SUMIF('Other Income Assumptions'!$C:$C,$E$37,'Other Income Assumptions'!F:F)</f>
        <v>0</v>
      </c>
      <c r="N37" s="8">
        <f>SUMIF('Other Income Assumptions'!$C:$C,$E$37,'Other Income Assumptions'!G:G)</f>
        <v>0</v>
      </c>
      <c r="O37" s="8">
        <f>SUMIF('Other Income Assumptions'!$C:$C,$E$37,'Other Income Assumptions'!H:H)</f>
        <v>0</v>
      </c>
      <c r="P37" s="8">
        <f>SUMIF('Other Income Assumptions'!$C:$C,$E$37,'Other Income Assumptions'!I:I)</f>
        <v>0</v>
      </c>
      <c r="Q37" s="8">
        <f>SUMIF('Other Income Assumptions'!$C:$C,$E$37,'Other Income Assumptions'!J:J)</f>
        <v>0</v>
      </c>
      <c r="R37" s="8">
        <f>SUMIF('Other Income Assumptions'!$C:$C,$E$37,'Other Income Assumptions'!K:K)</f>
        <v>0</v>
      </c>
      <c r="S37" s="8">
        <f>SUMIF('Other Income Assumptions'!$C:$C,$E$37,'Other Income Assumptions'!L:L)</f>
        <v>0</v>
      </c>
      <c r="T37" s="8">
        <f>SUMIF('Other Income Assumptions'!$C:$C,$E$37,'Other Income Assumptions'!M:M)</f>
        <v>0</v>
      </c>
      <c r="U37" s="8">
        <f>SUMIF('Other Income Assumptions'!$C:$C,$E$37,'Other Income Assumptions'!N:N)</f>
        <v>0</v>
      </c>
      <c r="V37" s="233">
        <f>SUMIF('Other Income Assumptions'!$C:$C,$E$37,'Other Income Assumptions'!O:O)</f>
        <v>0</v>
      </c>
      <c r="W37" s="8"/>
      <c r="X37" s="8"/>
      <c r="Y37" s="8"/>
      <c r="Z37" s="8"/>
      <c r="AA37" s="8"/>
      <c r="AB37" s="8"/>
      <c r="AC37" s="8"/>
      <c r="AD37" s="8"/>
      <c r="AE37" s="8"/>
      <c r="AF37" s="8"/>
      <c r="AG37" s="8"/>
      <c r="AH37" s="233"/>
      <c r="AI37" s="33"/>
    </row>
    <row r="38" spans="5:35" x14ac:dyDescent="0.3">
      <c r="E38" s="307" t="s">
        <v>242</v>
      </c>
      <c r="F38" s="719" t="str">
        <f>IFERROR(INDEX('Other Income Assumptions'!$D:$D, MATCH(E38, 'Other Income Assumptions'!$C:$C, 0)), "")</f>
        <v/>
      </c>
      <c r="G38" s="255"/>
      <c r="H38" s="256"/>
      <c r="I38" s="257"/>
      <c r="J38" s="229"/>
      <c r="K38" s="8">
        <f>SUMIF('Other Income Assumptions'!$C:$C,$E$38,'Other Income Assumptions'!D:D)</f>
        <v>0</v>
      </c>
      <c r="L38" s="8">
        <f>SUMIF('Other Income Assumptions'!$C:$C,$E$38,'Other Income Assumptions'!E:E)</f>
        <v>0</v>
      </c>
      <c r="M38" s="8">
        <f>SUMIF('Other Income Assumptions'!$C:$C,$E$38,'Other Income Assumptions'!F:F)</f>
        <v>0</v>
      </c>
      <c r="N38" s="8">
        <f>SUMIF('Other Income Assumptions'!$C:$C,$E$38,'Other Income Assumptions'!G:G)</f>
        <v>0</v>
      </c>
      <c r="O38" s="8">
        <f>SUMIF('Other Income Assumptions'!$C:$C,$E$38,'Other Income Assumptions'!H:H)</f>
        <v>0</v>
      </c>
      <c r="P38" s="8">
        <f>SUMIF('Other Income Assumptions'!$C:$C,$E$38,'Other Income Assumptions'!I:I)</f>
        <v>0</v>
      </c>
      <c r="Q38" s="8">
        <f>SUMIF('Other Income Assumptions'!$C:$C,$E$38,'Other Income Assumptions'!J:J)</f>
        <v>0</v>
      </c>
      <c r="R38" s="8">
        <f>SUMIF('Other Income Assumptions'!$C:$C,$E$38,'Other Income Assumptions'!K:K)</f>
        <v>0</v>
      </c>
      <c r="S38" s="8">
        <f>SUMIF('Other Income Assumptions'!$C:$C,$E$38,'Other Income Assumptions'!L:L)</f>
        <v>0</v>
      </c>
      <c r="T38" s="8">
        <f>SUMIF('Other Income Assumptions'!$C:$C,$E$38,'Other Income Assumptions'!M:M)</f>
        <v>0</v>
      </c>
      <c r="U38" s="8">
        <f>SUMIF('Other Income Assumptions'!$C:$C,$E$38,'Other Income Assumptions'!N:N)</f>
        <v>0</v>
      </c>
      <c r="V38" s="233">
        <f>SUMIF('Other Income Assumptions'!$C:$C,$E$38,'Other Income Assumptions'!O:O)</f>
        <v>0</v>
      </c>
      <c r="W38" s="8"/>
      <c r="X38" s="8"/>
      <c r="Y38" s="8"/>
      <c r="Z38" s="8"/>
      <c r="AA38" s="8"/>
      <c r="AB38" s="8"/>
      <c r="AC38" s="8"/>
      <c r="AD38" s="8"/>
      <c r="AE38" s="8"/>
      <c r="AF38" s="8"/>
      <c r="AG38" s="8"/>
      <c r="AH38" s="233"/>
      <c r="AI38" s="33"/>
    </row>
    <row r="39" spans="5:35" x14ac:dyDescent="0.3">
      <c r="E39" s="307" t="s">
        <v>494</v>
      </c>
      <c r="F39" s="719" t="str">
        <f>IFERROR(INDEX('Other Income Assumptions'!$D:$D, MATCH(E39, 'Other Income Assumptions'!$C:$C, 0)), "")</f>
        <v/>
      </c>
      <c r="G39" s="255"/>
      <c r="H39" s="256"/>
      <c r="I39" s="257"/>
      <c r="J39" s="229"/>
      <c r="K39" s="8">
        <f>SUMIF('Other Income Assumptions'!$C:$C,$E$39,'Other Income Assumptions'!D:D)</f>
        <v>0</v>
      </c>
      <c r="L39" s="8">
        <f>SUMIF('Other Income Assumptions'!$C:$C,$E$39,'Other Income Assumptions'!E:E)</f>
        <v>0</v>
      </c>
      <c r="M39" s="8">
        <f>SUMIF('Other Income Assumptions'!$C:$C,$E$39,'Other Income Assumptions'!F:F)</f>
        <v>0</v>
      </c>
      <c r="N39" s="8">
        <f>SUMIF('Other Income Assumptions'!$C:$C,$E$39,'Other Income Assumptions'!G:G)</f>
        <v>0</v>
      </c>
      <c r="O39" s="8">
        <f>SUMIF('Other Income Assumptions'!$C:$C,$E$39,'Other Income Assumptions'!H:H)</f>
        <v>0</v>
      </c>
      <c r="P39" s="8">
        <f>SUMIF('Other Income Assumptions'!$C:$C,$E$39,'Other Income Assumptions'!I:I)</f>
        <v>0</v>
      </c>
      <c r="Q39" s="8">
        <f>SUMIF('Other Income Assumptions'!$C:$C,$E$39,'Other Income Assumptions'!J:J)</f>
        <v>0</v>
      </c>
      <c r="R39" s="8">
        <f>SUMIF('Other Income Assumptions'!$C:$C,$E$39,'Other Income Assumptions'!K:K)</f>
        <v>0</v>
      </c>
      <c r="S39" s="8">
        <f>SUMIF('Other Income Assumptions'!$C:$C,$E$39,'Other Income Assumptions'!L:L)</f>
        <v>0</v>
      </c>
      <c r="T39" s="8">
        <f>SUMIF('Other Income Assumptions'!$C:$C,$E$39,'Other Income Assumptions'!M:M)</f>
        <v>0</v>
      </c>
      <c r="U39" s="8">
        <f>SUMIF('Other Income Assumptions'!$C:$C,$E$39,'Other Income Assumptions'!N:N)</f>
        <v>0</v>
      </c>
      <c r="V39" s="233">
        <f>SUMIF('Other Income Assumptions'!$C:$C,$E$39,'Other Income Assumptions'!O:O)</f>
        <v>0</v>
      </c>
      <c r="W39" s="8"/>
      <c r="X39" s="8"/>
      <c r="Y39" s="8"/>
      <c r="Z39" s="8"/>
      <c r="AA39" s="8"/>
      <c r="AB39" s="8"/>
      <c r="AC39" s="8"/>
      <c r="AD39" s="8"/>
      <c r="AE39" s="8"/>
      <c r="AF39" s="8"/>
      <c r="AG39" s="8"/>
      <c r="AH39" s="233"/>
      <c r="AI39" s="33"/>
    </row>
    <row r="40" spans="5:35" x14ac:dyDescent="0.3">
      <c r="E40" s="307" t="s">
        <v>245</v>
      </c>
      <c r="F40" s="719" t="str">
        <f>IFERROR(INDEX('Other Income Assumptions'!$D:$D, MATCH(E40, 'Other Income Assumptions'!$C:$C, 0)), "")</f>
        <v/>
      </c>
      <c r="G40" s="255"/>
      <c r="H40" s="256"/>
      <c r="I40" s="257"/>
      <c r="J40" s="229"/>
      <c r="K40" s="8">
        <f>SUMIF('Other Income Assumptions'!$C:$C,$E$40,'Other Income Assumptions'!D:D)</f>
        <v>0</v>
      </c>
      <c r="L40" s="8">
        <f>SUMIF('Other Income Assumptions'!$C:$C,$E$40,'Other Income Assumptions'!E:E)</f>
        <v>0</v>
      </c>
      <c r="M40" s="8">
        <f>SUMIF('Other Income Assumptions'!$C:$C,$E$40,'Other Income Assumptions'!F:F)</f>
        <v>0</v>
      </c>
      <c r="N40" s="8">
        <f>SUMIF('Other Income Assumptions'!$C:$C,$E$40,'Other Income Assumptions'!G:G)</f>
        <v>0</v>
      </c>
      <c r="O40" s="8">
        <f>SUMIF('Other Income Assumptions'!$C:$C,$E$40,'Other Income Assumptions'!H:H)</f>
        <v>0</v>
      </c>
      <c r="P40" s="8">
        <f>SUMIF('Other Income Assumptions'!$C:$C,$E$40,'Other Income Assumptions'!I:I)</f>
        <v>0</v>
      </c>
      <c r="Q40" s="8">
        <f>SUMIF('Other Income Assumptions'!$C:$C,$E$40,'Other Income Assumptions'!J:J)</f>
        <v>0</v>
      </c>
      <c r="R40" s="8">
        <f>SUMIF('Other Income Assumptions'!$C:$C,$E$40,'Other Income Assumptions'!K:K)</f>
        <v>0</v>
      </c>
      <c r="S40" s="8">
        <f>SUMIF('Other Income Assumptions'!$C:$C,$E$40,'Other Income Assumptions'!L:L)</f>
        <v>0</v>
      </c>
      <c r="T40" s="8">
        <f>SUMIF('Other Income Assumptions'!$C:$C,$E$40,'Other Income Assumptions'!M:M)</f>
        <v>0</v>
      </c>
      <c r="U40" s="8">
        <f>SUMIF('Other Income Assumptions'!$C:$C,$E$40,'Other Income Assumptions'!N:N)</f>
        <v>0</v>
      </c>
      <c r="V40" s="233">
        <f>SUMIF('Other Income Assumptions'!$C:$C,$E$40,'Other Income Assumptions'!O:O)</f>
        <v>0</v>
      </c>
      <c r="W40" s="8"/>
      <c r="X40" s="8"/>
      <c r="Y40" s="8"/>
      <c r="Z40" s="8"/>
      <c r="AA40" s="8"/>
      <c r="AB40" s="8"/>
      <c r="AC40" s="8"/>
      <c r="AD40" s="8"/>
      <c r="AE40" s="8"/>
      <c r="AF40" s="8"/>
      <c r="AG40" s="8"/>
      <c r="AH40" s="233"/>
      <c r="AI40" s="33"/>
    </row>
    <row r="41" spans="5:35" x14ac:dyDescent="0.3">
      <c r="E41" s="307" t="s">
        <v>241</v>
      </c>
      <c r="F41" s="719">
        <f>IFERROR(INDEX('Other Income Assumptions'!$D:$D, MATCH(E41, 'Other Income Assumptions'!$C:$C, 0)), "")</f>
        <v>0</v>
      </c>
      <c r="G41" s="255"/>
      <c r="H41" s="256"/>
      <c r="I41" s="257"/>
      <c r="J41" s="229"/>
      <c r="K41" s="8">
        <f>SUMIF('Other Income Assumptions'!$C:$C,$E$41,'Other Income Assumptions'!D:D)</f>
        <v>0</v>
      </c>
      <c r="L41" s="8">
        <f>SUMIF('Other Income Assumptions'!$C:$C,$E$41,'Other Income Assumptions'!E:E)</f>
        <v>0</v>
      </c>
      <c r="M41" s="8">
        <f>SUMIF('Other Income Assumptions'!$C:$C,$E$41,'Other Income Assumptions'!F:F)</f>
        <v>0</v>
      </c>
      <c r="N41" s="8">
        <f>SUMIF('Other Income Assumptions'!$C:$C,$E$41,'Other Income Assumptions'!G:G)</f>
        <v>0</v>
      </c>
      <c r="O41" s="8">
        <f>SUMIF('Other Income Assumptions'!$C:$C,$E$41,'Other Income Assumptions'!H:H)</f>
        <v>0</v>
      </c>
      <c r="P41" s="8">
        <f>SUMIF('Other Income Assumptions'!$C:$C,$E$41,'Other Income Assumptions'!I:I)</f>
        <v>0</v>
      </c>
      <c r="Q41" s="8">
        <f>SUMIF('Other Income Assumptions'!$C:$C,$E$41,'Other Income Assumptions'!J:J)</f>
        <v>0</v>
      </c>
      <c r="R41" s="8">
        <f>SUMIF('Other Income Assumptions'!$C:$C,$E$41,'Other Income Assumptions'!K:K)</f>
        <v>0</v>
      </c>
      <c r="S41" s="8">
        <f>SUMIF('Other Income Assumptions'!$C:$C,$E$41,'Other Income Assumptions'!L:L)</f>
        <v>0</v>
      </c>
      <c r="T41" s="8">
        <f>SUMIF('Other Income Assumptions'!$C:$C,$E$41,'Other Income Assumptions'!M:M)</f>
        <v>0</v>
      </c>
      <c r="U41" s="8">
        <f>SUMIF('Other Income Assumptions'!$C:$C,$E$41,'Other Income Assumptions'!N:N)</f>
        <v>0</v>
      </c>
      <c r="V41" s="233">
        <f>SUMIF('Other Income Assumptions'!$C:$C,$E$41,'Other Income Assumptions'!O:O)</f>
        <v>0</v>
      </c>
      <c r="W41" s="8"/>
      <c r="X41" s="8"/>
      <c r="Y41" s="8"/>
      <c r="Z41" s="8"/>
      <c r="AA41" s="8"/>
      <c r="AB41" s="8"/>
      <c r="AC41" s="8"/>
      <c r="AD41" s="8"/>
      <c r="AE41" s="8"/>
      <c r="AF41" s="8"/>
      <c r="AG41" s="8"/>
      <c r="AH41" s="233"/>
      <c r="AI41" s="33"/>
    </row>
    <row r="42" spans="5:35" x14ac:dyDescent="0.3">
      <c r="E42" s="307" t="s">
        <v>62</v>
      </c>
      <c r="F42" s="719" t="str">
        <f>IFERROR(INDEX('Other Income Assumptions'!$D:$D, MATCH(E42, 'Other Income Assumptions'!$C:$C, 0)), "")</f>
        <v/>
      </c>
      <c r="G42" s="255"/>
      <c r="H42" s="256"/>
      <c r="I42" s="257"/>
      <c r="J42" s="229"/>
      <c r="K42" s="8">
        <f>SUMIF('Other Income Assumptions'!$C:$C,$E$42,'Other Income Assumptions'!D:D)</f>
        <v>0</v>
      </c>
      <c r="L42" s="8">
        <f>SUMIF('Other Income Assumptions'!$C:$C,$E$42,'Other Income Assumptions'!E:E)</f>
        <v>0</v>
      </c>
      <c r="M42" s="8">
        <f>SUMIF('Other Income Assumptions'!$C:$C,$E$42,'Other Income Assumptions'!F:F)</f>
        <v>0</v>
      </c>
      <c r="N42" s="8">
        <f>SUMIF('Other Income Assumptions'!$C:$C,$E$42,'Other Income Assumptions'!G:G)</f>
        <v>0</v>
      </c>
      <c r="O42" s="8">
        <f>SUMIF('Other Income Assumptions'!$C:$C,$E$42,'Other Income Assumptions'!H:H)</f>
        <v>0</v>
      </c>
      <c r="P42" s="8">
        <f>SUMIF('Other Income Assumptions'!$C:$C,$E$42,'Other Income Assumptions'!I:I)</f>
        <v>0</v>
      </c>
      <c r="Q42" s="8">
        <f>SUMIF('Other Income Assumptions'!$C:$C,$E$42,'Other Income Assumptions'!J:J)</f>
        <v>0</v>
      </c>
      <c r="R42" s="8">
        <f>SUMIF('Other Income Assumptions'!$C:$C,$E$42,'Other Income Assumptions'!K:K)</f>
        <v>0</v>
      </c>
      <c r="S42" s="8">
        <f>SUMIF('Other Income Assumptions'!$C:$C,$E$42,'Other Income Assumptions'!L:L)</f>
        <v>0</v>
      </c>
      <c r="T42" s="8">
        <f>SUMIF('Other Income Assumptions'!$C:$C,$E$42,'Other Income Assumptions'!M:M)</f>
        <v>0</v>
      </c>
      <c r="U42" s="8">
        <f>SUMIF('Other Income Assumptions'!$C:$C,$E$42,'Other Income Assumptions'!N:N)</f>
        <v>0</v>
      </c>
      <c r="V42" s="233">
        <f>SUMIF('Other Income Assumptions'!$C:$C,$E$42,'Other Income Assumptions'!O:O)</f>
        <v>0</v>
      </c>
      <c r="W42" s="8"/>
      <c r="X42" s="8"/>
      <c r="Y42" s="8"/>
      <c r="Z42" s="8"/>
      <c r="AA42" s="8"/>
      <c r="AB42" s="8"/>
      <c r="AC42" s="8"/>
      <c r="AD42" s="8"/>
      <c r="AE42" s="8"/>
      <c r="AF42" s="8"/>
      <c r="AG42" s="8"/>
      <c r="AH42" s="233"/>
      <c r="AI42" s="33"/>
    </row>
    <row r="43" spans="5:35" x14ac:dyDescent="0.3">
      <c r="E43" s="307" t="s">
        <v>495</v>
      </c>
      <c r="F43" s="719" t="str">
        <f>IFERROR(INDEX('Other Income Assumptions'!$D:$D, MATCH(E43, 'Other Income Assumptions'!$C:$C, 0)), "")</f>
        <v/>
      </c>
      <c r="G43" s="255"/>
      <c r="H43" s="256"/>
      <c r="I43" s="257"/>
      <c r="J43" s="229"/>
      <c r="K43" s="8">
        <f>SUMIF('Other Income Assumptions'!$C:$C,$E$43,'Other Income Assumptions'!D:D)</f>
        <v>0</v>
      </c>
      <c r="L43" s="8">
        <f>SUMIF('Other Income Assumptions'!$C:$C,$E$43,'Other Income Assumptions'!E:E)</f>
        <v>0</v>
      </c>
      <c r="M43" s="8">
        <f>SUMIF('Other Income Assumptions'!$C:$C,$E$43,'Other Income Assumptions'!F:F)</f>
        <v>0</v>
      </c>
      <c r="N43" s="8">
        <f>SUMIF('Other Income Assumptions'!$C:$C,$E$43,'Other Income Assumptions'!G:G)</f>
        <v>0</v>
      </c>
      <c r="O43" s="8">
        <f>SUMIF('Other Income Assumptions'!$C:$C,$E$43,'Other Income Assumptions'!H:H)</f>
        <v>0</v>
      </c>
      <c r="P43" s="8">
        <f>SUMIF('Other Income Assumptions'!$C:$C,$E$43,'Other Income Assumptions'!I:I)</f>
        <v>0</v>
      </c>
      <c r="Q43" s="8">
        <f>SUMIF('Other Income Assumptions'!$C:$C,$E$43,'Other Income Assumptions'!J:J)</f>
        <v>0</v>
      </c>
      <c r="R43" s="8">
        <f>SUMIF('Other Income Assumptions'!$C:$C,$E$43,'Other Income Assumptions'!K:K)</f>
        <v>0</v>
      </c>
      <c r="S43" s="8">
        <f>SUMIF('Other Income Assumptions'!$C:$C,$E$43,'Other Income Assumptions'!L:L)</f>
        <v>0</v>
      </c>
      <c r="T43" s="8">
        <f>SUMIF('Other Income Assumptions'!$C:$C,$E$43,'Other Income Assumptions'!M:M)</f>
        <v>0</v>
      </c>
      <c r="U43" s="8">
        <f>SUMIF('Other Income Assumptions'!$C:$C,$E$43,'Other Income Assumptions'!N:N)</f>
        <v>0</v>
      </c>
      <c r="V43" s="233">
        <f>SUMIF('Other Income Assumptions'!$C:$C,$E$43,'Other Income Assumptions'!O:O)</f>
        <v>0</v>
      </c>
      <c r="W43" s="8"/>
      <c r="X43" s="8"/>
      <c r="Y43" s="8"/>
      <c r="Z43" s="8"/>
      <c r="AA43" s="8"/>
      <c r="AB43" s="8"/>
      <c r="AC43" s="8"/>
      <c r="AD43" s="8"/>
      <c r="AE43" s="8"/>
      <c r="AF43" s="8"/>
      <c r="AG43" s="8"/>
      <c r="AH43" s="233"/>
      <c r="AI43" s="33"/>
    </row>
    <row r="44" spans="5:35" x14ac:dyDescent="0.3">
      <c r="E44" s="307" t="s">
        <v>57</v>
      </c>
      <c r="F44" s="719" t="str">
        <f>IFERROR(INDEX('Other Income Assumptions'!$D:$D, MATCH(E44, 'Other Income Assumptions'!$C:$C, 0)), "")</f>
        <v/>
      </c>
      <c r="G44" s="255"/>
      <c r="H44" s="256"/>
      <c r="I44" s="257"/>
      <c r="J44" s="229"/>
      <c r="K44" s="8">
        <f>SUMIF('Other Income Assumptions'!$C:$C,$E$44,'Other Income Assumptions'!D:D)</f>
        <v>0</v>
      </c>
      <c r="L44" s="8">
        <f>SUMIF('Other Income Assumptions'!$C:$C,$E$44,'Other Income Assumptions'!E:E)</f>
        <v>0</v>
      </c>
      <c r="M44" s="8">
        <f>SUMIF('Other Income Assumptions'!$C:$C,$E$44,'Other Income Assumptions'!F:F)</f>
        <v>0</v>
      </c>
      <c r="N44" s="8">
        <f>SUMIF('Other Income Assumptions'!$C:$C,$E$44,'Other Income Assumptions'!G:G)</f>
        <v>0</v>
      </c>
      <c r="O44" s="8">
        <f>SUMIF('Other Income Assumptions'!$C:$C,$E$44,'Other Income Assumptions'!H:H)</f>
        <v>0</v>
      </c>
      <c r="P44" s="8">
        <f>SUMIF('Other Income Assumptions'!$C:$C,$E$44,'Other Income Assumptions'!I:I)</f>
        <v>0</v>
      </c>
      <c r="Q44" s="8">
        <f>SUMIF('Other Income Assumptions'!$C:$C,$E$44,'Other Income Assumptions'!J:J)</f>
        <v>0</v>
      </c>
      <c r="R44" s="8">
        <f>SUMIF('Other Income Assumptions'!$C:$C,$E$44,'Other Income Assumptions'!K:K)</f>
        <v>0</v>
      </c>
      <c r="S44" s="8">
        <f>SUMIF('Other Income Assumptions'!$C:$C,$E$44,'Other Income Assumptions'!L:L)</f>
        <v>0</v>
      </c>
      <c r="T44" s="8">
        <f>SUMIF('Other Income Assumptions'!$C:$C,$E$44,'Other Income Assumptions'!M:M)</f>
        <v>0</v>
      </c>
      <c r="U44" s="8">
        <f>SUMIF('Other Income Assumptions'!$C:$C,$E$44,'Other Income Assumptions'!N:N)</f>
        <v>0</v>
      </c>
      <c r="V44" s="233">
        <f>SUMIF('Other Income Assumptions'!$C:$C,$E$44,'Other Income Assumptions'!O:O)</f>
        <v>0</v>
      </c>
      <c r="W44" s="8"/>
      <c r="X44" s="8"/>
      <c r="Y44" s="8"/>
      <c r="Z44" s="8"/>
      <c r="AA44" s="8"/>
      <c r="AB44" s="8"/>
      <c r="AC44" s="8"/>
      <c r="AD44" s="8"/>
      <c r="AE44" s="8"/>
      <c r="AF44" s="8"/>
      <c r="AG44" s="8"/>
      <c r="AH44" s="233"/>
      <c r="AI44" s="33"/>
    </row>
    <row r="45" spans="5:35" x14ac:dyDescent="0.3">
      <c r="E45" s="307" t="s">
        <v>61</v>
      </c>
      <c r="F45" s="719" t="str">
        <f>IFERROR(INDEX('Other Income Assumptions'!$D:$D, MATCH(E45, 'Other Income Assumptions'!$C:$C, 0)), "")</f>
        <v/>
      </c>
      <c r="G45" s="255"/>
      <c r="H45" s="256"/>
      <c r="I45" s="257"/>
      <c r="J45" s="229"/>
      <c r="K45" s="8">
        <f>SUMIF('Other Income Assumptions'!$C:$C,$E$45,'Other Income Assumptions'!D:D)</f>
        <v>0</v>
      </c>
      <c r="L45" s="8">
        <f>SUMIF('Other Income Assumptions'!$C:$C,$E$45,'Other Income Assumptions'!E:E)</f>
        <v>0</v>
      </c>
      <c r="M45" s="8">
        <f>SUMIF('Other Income Assumptions'!$C:$C,$E$45,'Other Income Assumptions'!F:F)</f>
        <v>0</v>
      </c>
      <c r="N45" s="8">
        <f>SUMIF('Other Income Assumptions'!$C:$C,$E$45,'Other Income Assumptions'!G:G)</f>
        <v>0</v>
      </c>
      <c r="O45" s="8">
        <f>SUMIF('Other Income Assumptions'!$C:$C,$E$45,'Other Income Assumptions'!H:H)</f>
        <v>0</v>
      </c>
      <c r="P45" s="8">
        <f>SUMIF('Other Income Assumptions'!$C:$C,$E$45,'Other Income Assumptions'!I:I)</f>
        <v>0</v>
      </c>
      <c r="Q45" s="8">
        <f>SUMIF('Other Income Assumptions'!$C:$C,$E$45,'Other Income Assumptions'!J:J)</f>
        <v>0</v>
      </c>
      <c r="R45" s="8">
        <f>SUMIF('Other Income Assumptions'!$C:$C,$E$45,'Other Income Assumptions'!K:K)</f>
        <v>0</v>
      </c>
      <c r="S45" s="8">
        <f>SUMIF('Other Income Assumptions'!$C:$C,$E$45,'Other Income Assumptions'!L:L)</f>
        <v>0</v>
      </c>
      <c r="T45" s="8">
        <f>SUMIF('Other Income Assumptions'!$C:$C,$E$45,'Other Income Assumptions'!M:M)</f>
        <v>0</v>
      </c>
      <c r="U45" s="8">
        <f>SUMIF('Other Income Assumptions'!$C:$C,$E$45,'Other Income Assumptions'!N:N)</f>
        <v>0</v>
      </c>
      <c r="V45" s="233">
        <f>SUMIF('Other Income Assumptions'!$C:$C,$E$45,'Other Income Assumptions'!O:O)</f>
        <v>0</v>
      </c>
      <c r="W45" s="8"/>
      <c r="X45" s="8"/>
      <c r="Y45" s="8"/>
      <c r="Z45" s="8"/>
      <c r="AA45" s="8"/>
      <c r="AB45" s="8"/>
      <c r="AC45" s="8"/>
      <c r="AD45" s="8"/>
      <c r="AE45" s="8"/>
      <c r="AF45" s="8"/>
      <c r="AG45" s="8"/>
      <c r="AH45" s="233"/>
      <c r="AI45" s="33"/>
    </row>
    <row r="46" spans="5:35" x14ac:dyDescent="0.3">
      <c r="E46" s="307" t="s">
        <v>54</v>
      </c>
      <c r="F46" s="719" t="str">
        <f>IFERROR(INDEX('Other Income Assumptions'!$D:$D, MATCH(E46, 'Other Income Assumptions'!$C:$C, 0)), "")</f>
        <v/>
      </c>
      <c r="G46" s="258"/>
      <c r="H46" s="259"/>
      <c r="I46" s="260"/>
      <c r="J46" s="229"/>
      <c r="K46" s="8">
        <f>SUMIF('Other Income Assumptions'!$C:$C,$E$46,'Other Income Assumptions'!D:D)</f>
        <v>0</v>
      </c>
      <c r="L46" s="8">
        <f>SUMIF('Other Income Assumptions'!$C:$C,$E$46,'Other Income Assumptions'!E:E)</f>
        <v>0</v>
      </c>
      <c r="M46" s="8">
        <f>SUMIF('Other Income Assumptions'!$C:$C,$E$46,'Other Income Assumptions'!F:F)</f>
        <v>0</v>
      </c>
      <c r="N46" s="8">
        <f>SUMIF('Other Income Assumptions'!$C:$C,$E$46,'Other Income Assumptions'!G:G)</f>
        <v>0</v>
      </c>
      <c r="O46" s="8">
        <f>SUMIF('Other Income Assumptions'!$C:$C,$E$46,'Other Income Assumptions'!H:H)</f>
        <v>0</v>
      </c>
      <c r="P46" s="8">
        <f>SUMIF('Other Income Assumptions'!$C:$C,$E$46,'Other Income Assumptions'!I:I)</f>
        <v>0</v>
      </c>
      <c r="Q46" s="8">
        <f>SUMIF('Other Income Assumptions'!$C:$C,$E$46,'Other Income Assumptions'!J:J)</f>
        <v>0</v>
      </c>
      <c r="R46" s="8">
        <f>SUMIF('Other Income Assumptions'!$C:$C,$E$46,'Other Income Assumptions'!K:K)</f>
        <v>0</v>
      </c>
      <c r="S46" s="8">
        <f>SUMIF('Other Income Assumptions'!$C:$C,$E$46,'Other Income Assumptions'!L:L)</f>
        <v>0</v>
      </c>
      <c r="T46" s="8">
        <f>SUMIF('Other Income Assumptions'!$C:$C,$E$46,'Other Income Assumptions'!M:M)</f>
        <v>0</v>
      </c>
      <c r="U46" s="8">
        <f>SUMIF('Other Income Assumptions'!$C:$C,$E$46,'Other Income Assumptions'!N:N)</f>
        <v>0</v>
      </c>
      <c r="V46" s="233">
        <f>SUMIF('Other Income Assumptions'!$C:$C,$E$46,'Other Income Assumptions'!O:O)</f>
        <v>0</v>
      </c>
      <c r="W46" s="8"/>
      <c r="X46" s="8"/>
      <c r="Y46" s="8"/>
      <c r="Z46" s="8"/>
      <c r="AA46" s="8"/>
      <c r="AB46" s="8"/>
      <c r="AC46" s="8"/>
      <c r="AD46" s="8"/>
      <c r="AE46" s="8"/>
      <c r="AF46" s="8"/>
      <c r="AG46" s="8"/>
      <c r="AH46" s="233"/>
      <c r="AI46" s="33"/>
    </row>
    <row r="47" spans="5:35" x14ac:dyDescent="0.3">
      <c r="E47" s="307" t="s">
        <v>236</v>
      </c>
      <c r="F47" s="719" t="str">
        <f>IFERROR(INDEX('Other Income Assumptions'!$D:$D, MATCH(E47, 'Other Income Assumptions'!$C:$C, 0)), "")</f>
        <v/>
      </c>
      <c r="G47" s="255"/>
      <c r="H47" s="256"/>
      <c r="I47" s="257"/>
      <c r="J47" s="229"/>
      <c r="K47" s="8">
        <f>SUMIF('Other Income Assumptions'!$C:$C,$E$47,'Other Income Assumptions'!D:D)</f>
        <v>0</v>
      </c>
      <c r="L47" s="8">
        <f>SUMIF('Other Income Assumptions'!$C:$C,$E$47,'Other Income Assumptions'!E:E)</f>
        <v>0</v>
      </c>
      <c r="M47" s="8">
        <f>SUMIF('Other Income Assumptions'!$C:$C,$E$47,'Other Income Assumptions'!F:F)</f>
        <v>0</v>
      </c>
      <c r="N47" s="8">
        <f>SUMIF('Other Income Assumptions'!$C:$C,$E$47,'Other Income Assumptions'!G:G)</f>
        <v>0</v>
      </c>
      <c r="O47" s="8">
        <f>SUMIF('Other Income Assumptions'!$C:$C,$E$47,'Other Income Assumptions'!H:H)</f>
        <v>0</v>
      </c>
      <c r="P47" s="8">
        <f>SUMIF('Other Income Assumptions'!$C:$C,$E$47,'Other Income Assumptions'!I:I)</f>
        <v>0</v>
      </c>
      <c r="Q47" s="8">
        <f>SUMIF('Other Income Assumptions'!$C:$C,$E$47,'Other Income Assumptions'!J:J)</f>
        <v>0</v>
      </c>
      <c r="R47" s="8">
        <f>SUMIF('Other Income Assumptions'!$C:$C,$E$47,'Other Income Assumptions'!K:K)</f>
        <v>0</v>
      </c>
      <c r="S47" s="8">
        <f>SUMIF('Other Income Assumptions'!$C:$C,$E$47,'Other Income Assumptions'!L:L)</f>
        <v>0</v>
      </c>
      <c r="T47" s="8">
        <f>SUMIF('Other Income Assumptions'!$C:$C,$E$47,'Other Income Assumptions'!M:M)</f>
        <v>0</v>
      </c>
      <c r="U47" s="8">
        <f>SUMIF('Other Income Assumptions'!$C:$C,$E$47,'Other Income Assumptions'!N:N)</f>
        <v>0</v>
      </c>
      <c r="V47" s="233">
        <f>SUMIF('Other Income Assumptions'!$C:$C,$E$47,'Other Income Assumptions'!O:O)</f>
        <v>0</v>
      </c>
      <c r="W47" s="8"/>
      <c r="X47" s="8"/>
      <c r="Y47" s="8"/>
      <c r="Z47" s="8"/>
      <c r="AA47" s="8"/>
      <c r="AB47" s="8"/>
      <c r="AC47" s="8"/>
      <c r="AD47" s="8"/>
      <c r="AE47" s="8"/>
      <c r="AF47" s="8"/>
      <c r="AG47" s="8"/>
      <c r="AH47" s="233"/>
      <c r="AI47" s="33"/>
    </row>
    <row r="48" spans="5:35" x14ac:dyDescent="0.3">
      <c r="E48" s="307" t="s">
        <v>53</v>
      </c>
      <c r="F48" s="719" t="str">
        <f>IFERROR(INDEX('Other Income Assumptions'!$D:$D, MATCH(E48, 'Other Income Assumptions'!$C:$C, 0)), "")</f>
        <v/>
      </c>
      <c r="G48" s="255"/>
      <c r="H48" s="256"/>
      <c r="I48" s="257"/>
      <c r="J48" s="229"/>
      <c r="K48" s="8">
        <f>SUMIF('Other Income Assumptions'!$C:$C,$E$48,'Other Income Assumptions'!D:D)</f>
        <v>0</v>
      </c>
      <c r="L48" s="8">
        <f>SUMIF('Other Income Assumptions'!$C:$C,$E$48,'Other Income Assumptions'!E:E)</f>
        <v>0</v>
      </c>
      <c r="M48" s="8">
        <f>SUMIF('Other Income Assumptions'!$C:$C,$E$48,'Other Income Assumptions'!F:F)</f>
        <v>0</v>
      </c>
      <c r="N48" s="8">
        <f>SUMIF('Other Income Assumptions'!$C:$C,$E$48,'Other Income Assumptions'!G:G)</f>
        <v>0</v>
      </c>
      <c r="O48" s="8">
        <f>SUMIF('Other Income Assumptions'!$C:$C,$E$48,'Other Income Assumptions'!H:H)</f>
        <v>0</v>
      </c>
      <c r="P48" s="8">
        <f>SUMIF('Other Income Assumptions'!$C:$C,$E$48,'Other Income Assumptions'!I:I)</f>
        <v>0</v>
      </c>
      <c r="Q48" s="8">
        <f>SUMIF('Other Income Assumptions'!$C:$C,$E$48,'Other Income Assumptions'!J:J)</f>
        <v>0</v>
      </c>
      <c r="R48" s="8">
        <f>SUMIF('Other Income Assumptions'!$C:$C,$E$48,'Other Income Assumptions'!K:K)</f>
        <v>0</v>
      </c>
      <c r="S48" s="8">
        <f>SUMIF('Other Income Assumptions'!$C:$C,$E$48,'Other Income Assumptions'!L:L)</f>
        <v>0</v>
      </c>
      <c r="T48" s="8">
        <f>SUMIF('Other Income Assumptions'!$C:$C,$E$48,'Other Income Assumptions'!M:M)</f>
        <v>0</v>
      </c>
      <c r="U48" s="8">
        <f>SUMIF('Other Income Assumptions'!$C:$C,$E$48,'Other Income Assumptions'!N:N)</f>
        <v>0</v>
      </c>
      <c r="V48" s="233">
        <f>SUMIF('Other Income Assumptions'!$C:$C,$E$48,'Other Income Assumptions'!O:O)</f>
        <v>0</v>
      </c>
      <c r="W48" s="8"/>
      <c r="X48" s="8"/>
      <c r="Y48" s="8"/>
      <c r="Z48" s="8"/>
      <c r="AA48" s="8"/>
      <c r="AB48" s="8"/>
      <c r="AC48" s="8"/>
      <c r="AD48" s="8"/>
      <c r="AE48" s="8"/>
      <c r="AF48" s="8"/>
      <c r="AG48" s="8"/>
      <c r="AH48" s="233"/>
      <c r="AI48" s="33"/>
    </row>
    <row r="49" spans="5:35" x14ac:dyDescent="0.3">
      <c r="E49" s="307" t="s">
        <v>459</v>
      </c>
      <c r="F49" s="719" t="str">
        <f>IFERROR(INDEX('Other Income Assumptions'!$D:$D, MATCH(E49, 'Other Income Assumptions'!$C:$C, 0)), "")</f>
        <v/>
      </c>
      <c r="G49" s="258"/>
      <c r="H49" s="259"/>
      <c r="I49" s="260"/>
      <c r="J49" s="229"/>
      <c r="K49" s="8">
        <f>SUMIF('Other Income Assumptions'!$C:$C,$E$49,'Other Income Assumptions'!D:D)</f>
        <v>0</v>
      </c>
      <c r="L49" s="8">
        <f>SUMIF('Other Income Assumptions'!$C:$C,$E$49,'Other Income Assumptions'!E:E)</f>
        <v>0</v>
      </c>
      <c r="M49" s="8">
        <f>SUMIF('Other Income Assumptions'!$C:$C,$E$49,'Other Income Assumptions'!F:F)</f>
        <v>0</v>
      </c>
      <c r="N49" s="8">
        <f>SUMIF('Other Income Assumptions'!$C:$C,$E$49,'Other Income Assumptions'!G:G)</f>
        <v>0</v>
      </c>
      <c r="O49" s="8">
        <f>SUMIF('Other Income Assumptions'!$C:$C,$E$49,'Other Income Assumptions'!H:H)</f>
        <v>0</v>
      </c>
      <c r="P49" s="8">
        <f>SUMIF('Other Income Assumptions'!$C:$C,$E$49,'Other Income Assumptions'!I:I)</f>
        <v>0</v>
      </c>
      <c r="Q49" s="8">
        <f>SUMIF('Other Income Assumptions'!$C:$C,$E$49,'Other Income Assumptions'!J:J)</f>
        <v>0</v>
      </c>
      <c r="R49" s="8">
        <f>SUMIF('Other Income Assumptions'!$C:$C,$E$49,'Other Income Assumptions'!K:K)</f>
        <v>0</v>
      </c>
      <c r="S49" s="8">
        <f>SUMIF('Other Income Assumptions'!$C:$C,$E$49,'Other Income Assumptions'!L:L)</f>
        <v>0</v>
      </c>
      <c r="T49" s="8">
        <f>SUMIF('Other Income Assumptions'!$C:$C,$E$49,'Other Income Assumptions'!M:M)</f>
        <v>0</v>
      </c>
      <c r="U49" s="8">
        <f>SUMIF('Other Income Assumptions'!$C:$C,$E$49,'Other Income Assumptions'!N:N)</f>
        <v>0</v>
      </c>
      <c r="V49" s="233">
        <f>SUMIF('Other Income Assumptions'!$C:$C,$E$49,'Other Income Assumptions'!O:O)</f>
        <v>0</v>
      </c>
      <c r="W49" s="8"/>
      <c r="X49" s="8"/>
      <c r="Y49" s="8"/>
      <c r="Z49" s="8"/>
      <c r="AA49" s="8"/>
      <c r="AB49" s="8"/>
      <c r="AC49" s="8"/>
      <c r="AD49" s="8"/>
      <c r="AE49" s="8"/>
      <c r="AF49" s="8"/>
      <c r="AG49" s="8"/>
      <c r="AH49" s="233"/>
      <c r="AI49" s="33"/>
    </row>
    <row r="50" spans="5:35" x14ac:dyDescent="0.3">
      <c r="E50" s="307" t="s">
        <v>457</v>
      </c>
      <c r="F50" s="719" t="str">
        <f>IFERROR(INDEX('Other Income Assumptions'!$D:$D, MATCH(E50, 'Other Income Assumptions'!$C:$C, 0)), "")</f>
        <v/>
      </c>
      <c r="G50" s="255"/>
      <c r="H50" s="256"/>
      <c r="I50" s="257"/>
      <c r="J50" s="229"/>
      <c r="K50" s="8">
        <f>SUMIF('Other Income Assumptions'!$C:$C,$E$50,'Other Income Assumptions'!D:D)</f>
        <v>0</v>
      </c>
      <c r="L50" s="8">
        <f>SUMIF('Other Income Assumptions'!$C:$C,$E$50,'Other Income Assumptions'!E:E)</f>
        <v>0</v>
      </c>
      <c r="M50" s="8">
        <f>SUMIF('Other Income Assumptions'!$C:$C,$E$50,'Other Income Assumptions'!F:F)</f>
        <v>0</v>
      </c>
      <c r="N50" s="8">
        <f>SUMIF('Other Income Assumptions'!$C:$C,$E$50,'Other Income Assumptions'!G:G)</f>
        <v>0</v>
      </c>
      <c r="O50" s="8">
        <f>SUMIF('Other Income Assumptions'!$C:$C,$E$50,'Other Income Assumptions'!H:H)</f>
        <v>0</v>
      </c>
      <c r="P50" s="8">
        <f>SUMIF('Other Income Assumptions'!$C:$C,$E$50,'Other Income Assumptions'!I:I)</f>
        <v>0</v>
      </c>
      <c r="Q50" s="8">
        <f>SUMIF('Other Income Assumptions'!$C:$C,$E$50,'Other Income Assumptions'!J:J)</f>
        <v>0</v>
      </c>
      <c r="R50" s="8">
        <f>SUMIF('Other Income Assumptions'!$C:$C,$E$50,'Other Income Assumptions'!K:K)</f>
        <v>0</v>
      </c>
      <c r="S50" s="8">
        <f>SUMIF('Other Income Assumptions'!$C:$C,$E$50,'Other Income Assumptions'!L:L)</f>
        <v>0</v>
      </c>
      <c r="T50" s="8">
        <f>SUMIF('Other Income Assumptions'!$C:$C,$E$50,'Other Income Assumptions'!M:M)</f>
        <v>0</v>
      </c>
      <c r="U50" s="8">
        <f>SUMIF('Other Income Assumptions'!$C:$C,$E$50,'Other Income Assumptions'!N:N)</f>
        <v>0</v>
      </c>
      <c r="V50" s="233">
        <f>SUMIF('Other Income Assumptions'!$C:$C,$E$50,'Other Income Assumptions'!O:O)</f>
        <v>0</v>
      </c>
      <c r="W50" s="8"/>
      <c r="X50" s="8"/>
      <c r="Y50" s="8"/>
      <c r="Z50" s="8"/>
      <c r="AA50" s="8"/>
      <c r="AB50" s="8"/>
      <c r="AC50" s="8"/>
      <c r="AD50" s="8"/>
      <c r="AE50" s="8"/>
      <c r="AF50" s="8"/>
      <c r="AG50" s="8"/>
      <c r="AH50" s="233"/>
      <c r="AI50" s="33"/>
    </row>
    <row r="51" spans="5:35" x14ac:dyDescent="0.3">
      <c r="E51" s="307" t="s">
        <v>60</v>
      </c>
      <c r="F51" s="719"/>
      <c r="G51" s="255"/>
      <c r="H51" s="256"/>
      <c r="I51" s="257"/>
      <c r="J51" s="229"/>
      <c r="K51" s="8">
        <f>SUMIF('Other Income Assumptions'!$C:$C,$E$50,'Other Income Assumptions'!D:D)</f>
        <v>0</v>
      </c>
      <c r="L51" s="8">
        <f>SUMIF('Other Income Assumptions'!$C:$C,$E$50,'Other Income Assumptions'!E:E)</f>
        <v>0</v>
      </c>
      <c r="M51" s="8">
        <f>SUMIF('Other Income Assumptions'!$C:$C,$E$50,'Other Income Assumptions'!F:F)</f>
        <v>0</v>
      </c>
      <c r="N51" s="8">
        <f>SUMIF('Other Income Assumptions'!$C:$C,$E$50,'Other Income Assumptions'!G:G)</f>
        <v>0</v>
      </c>
      <c r="O51" s="8">
        <f>SUMIF('Other Income Assumptions'!$C:$C,$E$50,'Other Income Assumptions'!H:H)</f>
        <v>0</v>
      </c>
      <c r="P51" s="8">
        <f>SUMIF('Other Income Assumptions'!$C:$C,$E$50,'Other Income Assumptions'!I:I)</f>
        <v>0</v>
      </c>
      <c r="Q51" s="8">
        <f>SUMIF('Other Income Assumptions'!$C:$C,$E$50,'Other Income Assumptions'!J:J)</f>
        <v>0</v>
      </c>
      <c r="R51" s="8">
        <f>SUMIF('Other Income Assumptions'!$C:$C,$E$50,'Other Income Assumptions'!K:K)</f>
        <v>0</v>
      </c>
      <c r="S51" s="8">
        <f>SUMIF('Other Income Assumptions'!$C:$C,$E$50,'Other Income Assumptions'!L:L)</f>
        <v>0</v>
      </c>
      <c r="T51" s="8">
        <f>SUMIF('Other Income Assumptions'!$C:$C,$E$50,'Other Income Assumptions'!M:M)</f>
        <v>0</v>
      </c>
      <c r="U51" s="8">
        <f>SUMIF('Other Income Assumptions'!$C:$C,$E$50,'Other Income Assumptions'!N:N)</f>
        <v>0</v>
      </c>
      <c r="V51" s="233">
        <f>SUMIF('Other Income Assumptions'!$C:$C,$E$50,'Other Income Assumptions'!O:O)</f>
        <v>0</v>
      </c>
      <c r="W51" s="8"/>
      <c r="X51" s="8"/>
      <c r="Y51" s="8"/>
      <c r="Z51" s="8"/>
      <c r="AA51" s="8"/>
      <c r="AB51" s="8"/>
      <c r="AC51" s="8"/>
      <c r="AD51" s="8"/>
      <c r="AE51" s="8"/>
      <c r="AF51" s="8"/>
      <c r="AG51" s="8"/>
      <c r="AH51" s="233"/>
      <c r="AI51" s="33"/>
    </row>
    <row r="52" spans="5:35" x14ac:dyDescent="0.3">
      <c r="E52" s="307" t="s">
        <v>461</v>
      </c>
      <c r="F52" s="719"/>
      <c r="G52" s="255"/>
      <c r="H52" s="256"/>
      <c r="I52" s="257"/>
      <c r="J52" s="229"/>
      <c r="K52" s="8">
        <f>SUMIF('Other Income Assumptions'!$C:$C,$E$50,'Other Income Assumptions'!D:D)</f>
        <v>0</v>
      </c>
      <c r="L52" s="8">
        <f>SUMIF('Other Income Assumptions'!$C:$C,$E$50,'Other Income Assumptions'!E:E)</f>
        <v>0</v>
      </c>
      <c r="M52" s="8">
        <f>SUMIF('Other Income Assumptions'!$C:$C,$E$50,'Other Income Assumptions'!F:F)</f>
        <v>0</v>
      </c>
      <c r="N52" s="8">
        <f>SUMIF('Other Income Assumptions'!$C:$C,$E$50,'Other Income Assumptions'!G:G)</f>
        <v>0</v>
      </c>
      <c r="O52" s="8">
        <f>SUMIF('Other Income Assumptions'!$C:$C,$E$50,'Other Income Assumptions'!H:H)</f>
        <v>0</v>
      </c>
      <c r="P52" s="8">
        <f>SUMIF('Other Income Assumptions'!$C:$C,$E$50,'Other Income Assumptions'!I:I)</f>
        <v>0</v>
      </c>
      <c r="Q52" s="8">
        <f>SUMIF('Other Income Assumptions'!$C:$C,$E$50,'Other Income Assumptions'!J:J)</f>
        <v>0</v>
      </c>
      <c r="R52" s="8">
        <f>SUMIF('Other Income Assumptions'!$C:$C,$E$50,'Other Income Assumptions'!K:K)</f>
        <v>0</v>
      </c>
      <c r="S52" s="8">
        <f>SUMIF('Other Income Assumptions'!$C:$C,$E$50,'Other Income Assumptions'!L:L)</f>
        <v>0</v>
      </c>
      <c r="T52" s="8">
        <f>SUMIF('Other Income Assumptions'!$C:$C,$E$50,'Other Income Assumptions'!M:M)</f>
        <v>0</v>
      </c>
      <c r="U52" s="8">
        <f>SUMIF('Other Income Assumptions'!$C:$C,$E$50,'Other Income Assumptions'!N:N)</f>
        <v>0</v>
      </c>
      <c r="V52" s="233">
        <f>SUMIF('Other Income Assumptions'!$C:$C,$E$50,'Other Income Assumptions'!O:O)</f>
        <v>0</v>
      </c>
      <c r="W52" s="8"/>
      <c r="X52" s="8"/>
      <c r="Y52" s="8"/>
      <c r="Z52" s="8"/>
      <c r="AA52" s="8"/>
      <c r="AB52" s="8"/>
      <c r="AC52" s="8"/>
      <c r="AD52" s="8"/>
      <c r="AE52" s="8"/>
      <c r="AF52" s="8"/>
      <c r="AG52" s="8"/>
      <c r="AH52" s="233"/>
      <c r="AI52" s="33"/>
    </row>
    <row r="53" spans="5:35" x14ac:dyDescent="0.3">
      <c r="E53" s="307" t="s">
        <v>234</v>
      </c>
      <c r="F53" s="719"/>
      <c r="G53" s="255"/>
      <c r="H53" s="256"/>
      <c r="I53" s="257"/>
      <c r="J53" s="229"/>
      <c r="K53" s="8">
        <f>SUMIF('Other Income Assumptions'!$C:$C,$E$50,'Other Income Assumptions'!D:D)</f>
        <v>0</v>
      </c>
      <c r="L53" s="8">
        <f>SUMIF('Other Income Assumptions'!$C:$C,$E$50,'Other Income Assumptions'!E:E)</f>
        <v>0</v>
      </c>
      <c r="M53" s="8">
        <f>SUMIF('Other Income Assumptions'!$C:$C,$E$50,'Other Income Assumptions'!F:F)</f>
        <v>0</v>
      </c>
      <c r="N53" s="8">
        <f>SUMIF('Other Income Assumptions'!$C:$C,$E$50,'Other Income Assumptions'!G:G)</f>
        <v>0</v>
      </c>
      <c r="O53" s="8">
        <f>SUMIF('Other Income Assumptions'!$C:$C,$E$50,'Other Income Assumptions'!H:H)</f>
        <v>0</v>
      </c>
      <c r="P53" s="8">
        <f>SUMIF('Other Income Assumptions'!$C:$C,$E$50,'Other Income Assumptions'!I:I)</f>
        <v>0</v>
      </c>
      <c r="Q53" s="8">
        <f>SUMIF('Other Income Assumptions'!$C:$C,$E$50,'Other Income Assumptions'!J:J)</f>
        <v>0</v>
      </c>
      <c r="R53" s="8">
        <f>SUMIF('Other Income Assumptions'!$C:$C,$E$50,'Other Income Assumptions'!K:K)</f>
        <v>0</v>
      </c>
      <c r="S53" s="8">
        <f>SUMIF('Other Income Assumptions'!$C:$C,$E$50,'Other Income Assumptions'!L:L)</f>
        <v>0</v>
      </c>
      <c r="T53" s="8">
        <f>SUMIF('Other Income Assumptions'!$C:$C,$E$50,'Other Income Assumptions'!M:M)</f>
        <v>0</v>
      </c>
      <c r="U53" s="8">
        <f>SUMIF('Other Income Assumptions'!$C:$C,$E$50,'Other Income Assumptions'!N:N)</f>
        <v>0</v>
      </c>
      <c r="V53" s="233">
        <f>SUMIF('Other Income Assumptions'!$C:$C,$E$50,'Other Income Assumptions'!O:O)</f>
        <v>0</v>
      </c>
      <c r="W53" s="8"/>
      <c r="X53" s="8"/>
      <c r="Y53" s="8"/>
      <c r="Z53" s="8"/>
      <c r="AA53" s="8"/>
      <c r="AB53" s="8"/>
      <c r="AC53" s="8"/>
      <c r="AD53" s="8"/>
      <c r="AE53" s="8"/>
      <c r="AF53" s="8"/>
      <c r="AG53" s="8"/>
      <c r="AH53" s="233"/>
      <c r="AI53" s="33"/>
    </row>
    <row r="54" spans="5:35" x14ac:dyDescent="0.3">
      <c r="E54" s="225"/>
      <c r="F54" s="719"/>
      <c r="G54" s="255"/>
      <c r="H54" s="256"/>
      <c r="I54" s="257"/>
      <c r="J54" s="229"/>
      <c r="K54" s="8">
        <f>SUMIF('Other Income Assumptions'!$C:$C,$E$50,'Other Income Assumptions'!D:D)</f>
        <v>0</v>
      </c>
      <c r="L54" s="8">
        <f>SUMIF('Other Income Assumptions'!$C:$C,$E$50,'Other Income Assumptions'!E:E)</f>
        <v>0</v>
      </c>
      <c r="M54" s="8">
        <f>SUMIF('Other Income Assumptions'!$C:$C,$E$50,'Other Income Assumptions'!F:F)</f>
        <v>0</v>
      </c>
      <c r="N54" s="8">
        <f>SUMIF('Other Income Assumptions'!$C:$C,$E$50,'Other Income Assumptions'!G:G)</f>
        <v>0</v>
      </c>
      <c r="O54" s="8">
        <f>SUMIF('Other Income Assumptions'!$C:$C,$E$50,'Other Income Assumptions'!H:H)</f>
        <v>0</v>
      </c>
      <c r="P54" s="8">
        <f>SUMIF('Other Income Assumptions'!$C:$C,$E$50,'Other Income Assumptions'!I:I)</f>
        <v>0</v>
      </c>
      <c r="Q54" s="8">
        <f>SUMIF('Other Income Assumptions'!$C:$C,$E$50,'Other Income Assumptions'!J:J)</f>
        <v>0</v>
      </c>
      <c r="R54" s="8">
        <f>SUMIF('Other Income Assumptions'!$C:$C,$E$50,'Other Income Assumptions'!K:K)</f>
        <v>0</v>
      </c>
      <c r="S54" s="8">
        <f>SUMIF('Other Income Assumptions'!$C:$C,$E$50,'Other Income Assumptions'!L:L)</f>
        <v>0</v>
      </c>
      <c r="T54" s="8">
        <f>SUMIF('Other Income Assumptions'!$C:$C,$E$50,'Other Income Assumptions'!M:M)</f>
        <v>0</v>
      </c>
      <c r="U54" s="8">
        <f>SUMIF('Other Income Assumptions'!$C:$C,$E$50,'Other Income Assumptions'!N:N)</f>
        <v>0</v>
      </c>
      <c r="V54" s="233">
        <f>SUMIF('Other Income Assumptions'!$C:$C,$E$50,'Other Income Assumptions'!O:O)</f>
        <v>0</v>
      </c>
      <c r="W54" s="8"/>
      <c r="X54" s="8"/>
      <c r="Y54" s="8"/>
      <c r="Z54" s="8"/>
      <c r="AA54" s="8"/>
      <c r="AB54" s="8"/>
      <c r="AC54" s="8"/>
      <c r="AD54" s="8"/>
      <c r="AE54" s="8"/>
      <c r="AF54" s="8"/>
      <c r="AG54" s="8"/>
      <c r="AH54" s="233"/>
      <c r="AI54" s="33"/>
    </row>
    <row r="55" spans="5:35" x14ac:dyDescent="0.3">
      <c r="E55" s="196"/>
      <c r="F55" s="720" t="str">
        <f>IFERROR(INDEX('Other Income Assumptions'!$D:$D, MATCH(E55, 'Other Income Assumptions'!$C:$C, 0)), "")</f>
        <v/>
      </c>
      <c r="G55" s="261"/>
      <c r="H55" s="262"/>
      <c r="I55" s="263"/>
      <c r="J55" s="229"/>
      <c r="K55" s="264">
        <f>SUMIF('Other Income Assumptions'!$C:$C,$E$55,'Other Income Assumptions'!D:D)</f>
        <v>0</v>
      </c>
      <c r="L55" s="264">
        <f>SUMIF('Other Income Assumptions'!$C:$C,$E$55,'Other Income Assumptions'!E:E)</f>
        <v>0</v>
      </c>
      <c r="M55" s="264">
        <f>SUMIF('Other Income Assumptions'!$C:$C,$E$55,'Other Income Assumptions'!F:F)</f>
        <v>0</v>
      </c>
      <c r="N55" s="264">
        <f>SUMIF('Other Income Assumptions'!$C:$C,$E$55,'Other Income Assumptions'!G:G)</f>
        <v>0</v>
      </c>
      <c r="O55" s="264">
        <f>SUMIF('Other Income Assumptions'!$C:$C,$E$55,'Other Income Assumptions'!H:H)</f>
        <v>0</v>
      </c>
      <c r="P55" s="264">
        <f>SUMIF('Other Income Assumptions'!$C:$C,$E$55,'Other Income Assumptions'!I:I)</f>
        <v>0</v>
      </c>
      <c r="Q55" s="264">
        <f>SUMIF('Other Income Assumptions'!$C:$C,$E$55,'Other Income Assumptions'!J:J)</f>
        <v>0</v>
      </c>
      <c r="R55" s="264">
        <f>SUMIF('Other Income Assumptions'!$C:$C,$E$55,'Other Income Assumptions'!K:K)</f>
        <v>0</v>
      </c>
      <c r="S55" s="264">
        <f>SUMIF('Other Income Assumptions'!$C:$C,$E$55,'Other Income Assumptions'!L:L)</f>
        <v>0</v>
      </c>
      <c r="T55" s="264">
        <f>SUMIF('Other Income Assumptions'!$C:$C,$E$55,'Other Income Assumptions'!M:M)</f>
        <v>0</v>
      </c>
      <c r="U55" s="264">
        <f>SUMIF('Other Income Assumptions'!$C:$C,$E$55,'Other Income Assumptions'!N:N)</f>
        <v>0</v>
      </c>
      <c r="V55" s="233">
        <f>SUMIF('Other Income Assumptions'!$C:$C,$E$55,'Other Income Assumptions'!O:O)</f>
        <v>0</v>
      </c>
      <c r="W55" s="264"/>
      <c r="X55" s="264"/>
      <c r="Y55" s="264"/>
      <c r="Z55" s="264"/>
      <c r="AA55" s="264"/>
      <c r="AB55" s="264"/>
      <c r="AC55" s="264"/>
      <c r="AD55" s="264"/>
      <c r="AE55" s="264"/>
      <c r="AF55" s="264"/>
      <c r="AG55" s="264"/>
      <c r="AH55" s="202"/>
      <c r="AI55" s="33"/>
    </row>
    <row r="56" spans="5:35" x14ac:dyDescent="0.3">
      <c r="E56" s="203" t="s">
        <v>73</v>
      </c>
      <c r="F56" s="484"/>
      <c r="G56" s="204"/>
      <c r="H56" s="265">
        <f t="shared" ref="H56:J56" si="11">SUM(H29:H55)</f>
        <v>0</v>
      </c>
      <c r="I56" s="266">
        <f t="shared" si="11"/>
        <v>0</v>
      </c>
      <c r="J56" s="267">
        <f t="shared" si="11"/>
        <v>0</v>
      </c>
      <c r="K56" s="486">
        <f>SUM(K29:K55)</f>
        <v>0</v>
      </c>
      <c r="L56" s="246">
        <f t="shared" ref="L56:V56" si="12">SUM(L29:L55)</f>
        <v>0</v>
      </c>
      <c r="M56" s="246">
        <f t="shared" si="12"/>
        <v>0</v>
      </c>
      <c r="N56" s="246">
        <f t="shared" si="12"/>
        <v>0</v>
      </c>
      <c r="O56" s="246">
        <f t="shared" si="12"/>
        <v>0</v>
      </c>
      <c r="P56" s="246">
        <f t="shared" si="12"/>
        <v>0</v>
      </c>
      <c r="Q56" s="246">
        <f t="shared" si="12"/>
        <v>0</v>
      </c>
      <c r="R56" s="246">
        <f t="shared" si="12"/>
        <v>0</v>
      </c>
      <c r="S56" s="246">
        <f t="shared" si="12"/>
        <v>0</v>
      </c>
      <c r="T56" s="246">
        <f t="shared" si="12"/>
        <v>0</v>
      </c>
      <c r="U56" s="246">
        <f t="shared" si="12"/>
        <v>0</v>
      </c>
      <c r="V56" s="247">
        <f t="shared" si="12"/>
        <v>0</v>
      </c>
      <c r="W56" s="246">
        <f t="shared" ref="W56:AH56" si="13">SUM(W29:W55)</f>
        <v>0</v>
      </c>
      <c r="X56" s="246">
        <f t="shared" si="13"/>
        <v>0</v>
      </c>
      <c r="Y56" s="246">
        <f t="shared" si="13"/>
        <v>0</v>
      </c>
      <c r="Z56" s="246">
        <f t="shared" si="13"/>
        <v>0</v>
      </c>
      <c r="AA56" s="246">
        <f t="shared" si="13"/>
        <v>0</v>
      </c>
      <c r="AB56" s="246">
        <f t="shared" si="13"/>
        <v>0</v>
      </c>
      <c r="AC56" s="246">
        <f t="shared" si="13"/>
        <v>0</v>
      </c>
      <c r="AD56" s="246">
        <f t="shared" si="13"/>
        <v>0</v>
      </c>
      <c r="AE56" s="246">
        <f t="shared" si="13"/>
        <v>0</v>
      </c>
      <c r="AF56" s="246">
        <f t="shared" si="13"/>
        <v>0</v>
      </c>
      <c r="AG56" s="246">
        <f t="shared" si="13"/>
        <v>0</v>
      </c>
      <c r="AH56" s="247">
        <f t="shared" si="13"/>
        <v>0</v>
      </c>
      <c r="AI56" s="33"/>
    </row>
    <row r="57" spans="5:35" x14ac:dyDescent="0.3">
      <c r="E57" s="225"/>
      <c r="H57" s="268"/>
      <c r="J57" s="269"/>
      <c r="K57" s="33"/>
      <c r="L57" s="33"/>
      <c r="M57" s="33"/>
      <c r="N57" s="33"/>
      <c r="O57" s="33"/>
      <c r="P57" s="33"/>
      <c r="Q57" s="33"/>
      <c r="R57" s="33"/>
      <c r="S57" s="33"/>
      <c r="T57" s="33"/>
      <c r="U57" s="33"/>
      <c r="V57" s="241"/>
      <c r="W57" s="33"/>
      <c r="X57" s="33"/>
      <c r="Y57" s="33"/>
      <c r="Z57" s="33"/>
      <c r="AA57" s="33"/>
      <c r="AB57" s="33"/>
      <c r="AC57" s="33"/>
      <c r="AD57" s="33"/>
      <c r="AE57" s="33"/>
      <c r="AF57" s="33"/>
      <c r="AG57" s="33"/>
      <c r="AH57" s="241"/>
      <c r="AI57" s="33"/>
    </row>
    <row r="58" spans="5:35" x14ac:dyDescent="0.3">
      <c r="E58" s="203" t="s">
        <v>217</v>
      </c>
      <c r="F58" s="204"/>
      <c r="G58" s="204"/>
      <c r="H58" s="270">
        <f>SUM(H56,H27)</f>
        <v>0</v>
      </c>
      <c r="I58" s="246">
        <f>SUM(I56,I27)</f>
        <v>0</v>
      </c>
      <c r="J58" s="271">
        <f t="shared" ref="J58" si="14">SUM(J56,J27)</f>
        <v>0</v>
      </c>
      <c r="K58" s="246" t="e">
        <f>SUM(K56,K27)</f>
        <v>#DIV/0!</v>
      </c>
      <c r="L58" s="246" t="e">
        <f t="shared" ref="L58:V58" si="15">SUM(L56,L27)</f>
        <v>#DIV/0!</v>
      </c>
      <c r="M58" s="246" t="e">
        <f t="shared" si="15"/>
        <v>#DIV/0!</v>
      </c>
      <c r="N58" s="246" t="e">
        <f t="shared" si="15"/>
        <v>#DIV/0!</v>
      </c>
      <c r="O58" s="246" t="e">
        <f t="shared" si="15"/>
        <v>#DIV/0!</v>
      </c>
      <c r="P58" s="246" t="e">
        <f t="shared" si="15"/>
        <v>#DIV/0!</v>
      </c>
      <c r="Q58" s="246" t="e">
        <f t="shared" si="15"/>
        <v>#DIV/0!</v>
      </c>
      <c r="R58" s="246" t="e">
        <f t="shared" si="15"/>
        <v>#DIV/0!</v>
      </c>
      <c r="S58" s="246" t="e">
        <f t="shared" si="15"/>
        <v>#DIV/0!</v>
      </c>
      <c r="T58" s="246" t="e">
        <f t="shared" si="15"/>
        <v>#DIV/0!</v>
      </c>
      <c r="U58" s="246" t="e">
        <f t="shared" si="15"/>
        <v>#DIV/0!</v>
      </c>
      <c r="V58" s="247" t="e">
        <f t="shared" si="15"/>
        <v>#DIV/0!</v>
      </c>
      <c r="W58" s="246" t="e">
        <f t="shared" ref="W58:AH58" si="16">SUM(W56,W27)</f>
        <v>#DIV/0!</v>
      </c>
      <c r="X58" s="246" t="e">
        <f t="shared" si="16"/>
        <v>#DIV/0!</v>
      </c>
      <c r="Y58" s="246" t="e">
        <f t="shared" si="16"/>
        <v>#DIV/0!</v>
      </c>
      <c r="Z58" s="246" t="e">
        <f t="shared" si="16"/>
        <v>#DIV/0!</v>
      </c>
      <c r="AA58" s="246" t="e">
        <f t="shared" si="16"/>
        <v>#DIV/0!</v>
      </c>
      <c r="AB58" s="246" t="e">
        <f t="shared" si="16"/>
        <v>#DIV/0!</v>
      </c>
      <c r="AC58" s="246" t="e">
        <f t="shared" si="16"/>
        <v>#DIV/0!</v>
      </c>
      <c r="AD58" s="246" t="e">
        <f t="shared" si="16"/>
        <v>#DIV/0!</v>
      </c>
      <c r="AE58" s="246" t="e">
        <f t="shared" si="16"/>
        <v>#DIV/0!</v>
      </c>
      <c r="AF58" s="246" t="e">
        <f t="shared" si="16"/>
        <v>#DIV/0!</v>
      </c>
      <c r="AG58" s="246" t="e">
        <f t="shared" si="16"/>
        <v>#DIV/0!</v>
      </c>
      <c r="AH58" s="247" t="e">
        <f t="shared" si="16"/>
        <v>#DIV/0!</v>
      </c>
      <c r="AI58" s="33"/>
    </row>
    <row r="59" spans="5:35" x14ac:dyDescent="0.3">
      <c r="E59" s="225"/>
      <c r="H59" s="268"/>
      <c r="J59" s="269"/>
      <c r="K59" s="33"/>
      <c r="L59" s="33"/>
      <c r="M59" s="33"/>
      <c r="N59" s="33"/>
      <c r="O59" s="33"/>
      <c r="P59" s="33"/>
      <c r="Q59" s="33"/>
      <c r="R59" s="33"/>
      <c r="S59" s="33"/>
      <c r="T59" s="33"/>
      <c r="U59" s="33"/>
      <c r="V59" s="241"/>
      <c r="W59" s="33"/>
      <c r="X59" s="33"/>
      <c r="Y59" s="33"/>
      <c r="Z59" s="33"/>
      <c r="AA59" s="33"/>
      <c r="AB59" s="33"/>
      <c r="AC59" s="33"/>
      <c r="AD59" s="33"/>
      <c r="AE59" s="33"/>
      <c r="AF59" s="33"/>
      <c r="AG59" s="33"/>
      <c r="AH59" s="241"/>
      <c r="AI59" s="33"/>
    </row>
    <row r="60" spans="5:35" x14ac:dyDescent="0.3">
      <c r="E60" s="24" t="s">
        <v>76</v>
      </c>
      <c r="F60" s="272"/>
      <c r="G60" s="272"/>
      <c r="H60" s="273"/>
      <c r="I60" s="272"/>
      <c r="J60" s="207"/>
      <c r="K60" s="274"/>
      <c r="L60" s="206"/>
      <c r="M60" s="206"/>
      <c r="N60" s="206"/>
      <c r="O60" s="206"/>
      <c r="P60" s="206"/>
      <c r="Q60" s="206"/>
      <c r="R60" s="206"/>
      <c r="S60" s="206"/>
      <c r="T60" s="206"/>
      <c r="U60" s="206"/>
      <c r="V60" s="212"/>
      <c r="W60" s="206"/>
      <c r="X60" s="206"/>
      <c r="Y60" s="206"/>
      <c r="Z60" s="206"/>
      <c r="AA60" s="206"/>
      <c r="AB60" s="206"/>
      <c r="AC60" s="206"/>
      <c r="AD60" s="206"/>
      <c r="AE60" s="206"/>
      <c r="AF60" s="206"/>
      <c r="AG60" s="206"/>
      <c r="AH60" s="212"/>
      <c r="AI60" s="33"/>
    </row>
    <row r="61" spans="5:35" x14ac:dyDescent="0.3">
      <c r="E61" s="225"/>
      <c r="H61" s="268"/>
      <c r="J61" s="269"/>
      <c r="K61" s="33"/>
      <c r="L61" s="33"/>
      <c r="M61" s="33"/>
      <c r="N61" s="33"/>
      <c r="O61" s="33"/>
      <c r="P61" s="33"/>
      <c r="Q61" s="33"/>
      <c r="R61" s="33"/>
      <c r="S61" s="33"/>
      <c r="T61" s="33"/>
      <c r="U61" s="33"/>
      <c r="V61" s="241"/>
      <c r="W61" s="33"/>
      <c r="X61" s="33"/>
      <c r="Y61" s="33"/>
      <c r="Z61" s="33"/>
      <c r="AA61" s="33"/>
      <c r="AB61" s="33"/>
      <c r="AC61" s="33"/>
      <c r="AD61" s="33"/>
      <c r="AE61" s="33"/>
      <c r="AF61" s="33"/>
      <c r="AG61" s="33"/>
      <c r="AH61" s="241"/>
      <c r="AI61" s="33"/>
    </row>
    <row r="62" spans="5:35" x14ac:dyDescent="0.3">
      <c r="E62" s="213" t="s">
        <v>359</v>
      </c>
      <c r="F62" s="194"/>
      <c r="G62" s="194"/>
      <c r="H62" s="275"/>
      <c r="I62" s="276"/>
      <c r="J62" s="253"/>
      <c r="K62" s="194">
        <f>'Payroll Schedule'!$G$21/12</f>
        <v>18836.666666666668</v>
      </c>
      <c r="L62" s="194"/>
      <c r="M62" s="194"/>
      <c r="N62" s="194"/>
      <c r="O62" s="194"/>
      <c r="P62" s="194"/>
      <c r="Q62" s="194"/>
      <c r="R62" s="194"/>
      <c r="S62" s="194"/>
      <c r="T62" s="194"/>
      <c r="U62" s="194"/>
      <c r="V62" s="195"/>
      <c r="W62" s="194"/>
      <c r="X62" s="194"/>
      <c r="Y62" s="194"/>
      <c r="Z62" s="194"/>
      <c r="AA62" s="194"/>
      <c r="AB62" s="194"/>
      <c r="AC62" s="194"/>
      <c r="AD62" s="194"/>
      <c r="AE62" s="194"/>
      <c r="AF62" s="194"/>
      <c r="AG62" s="194"/>
      <c r="AH62" s="195"/>
      <c r="AI62" s="33"/>
    </row>
    <row r="63" spans="5:35" x14ac:dyDescent="0.3">
      <c r="E63" s="225" t="s">
        <v>181</v>
      </c>
      <c r="F63" s="33"/>
      <c r="G63" s="33"/>
      <c r="H63" s="277"/>
      <c r="I63" s="278"/>
      <c r="J63" s="229"/>
      <c r="K63" s="33"/>
      <c r="L63" s="33"/>
      <c r="M63" s="33"/>
      <c r="N63" s="33"/>
      <c r="O63" s="33"/>
      <c r="P63" s="33"/>
      <c r="Q63" s="33"/>
      <c r="R63" s="33"/>
      <c r="S63" s="33"/>
      <c r="T63" s="33"/>
      <c r="U63" s="33"/>
      <c r="V63" s="233"/>
      <c r="W63" s="33"/>
      <c r="X63" s="33"/>
      <c r="Y63" s="33"/>
      <c r="Z63" s="33"/>
      <c r="AA63" s="33"/>
      <c r="AB63" s="33"/>
      <c r="AC63" s="33"/>
      <c r="AD63" s="33"/>
      <c r="AE63" s="33"/>
      <c r="AF63" s="33"/>
      <c r="AG63" s="33"/>
      <c r="AH63" s="233"/>
      <c r="AI63" s="33"/>
    </row>
    <row r="64" spans="5:35" x14ac:dyDescent="0.3">
      <c r="E64" s="225" t="s">
        <v>229</v>
      </c>
      <c r="F64" s="33"/>
      <c r="G64" s="33"/>
      <c r="H64" s="277"/>
      <c r="I64" s="278"/>
      <c r="J64" s="229"/>
      <c r="K64" s="33"/>
      <c r="L64" s="33"/>
      <c r="M64" s="33"/>
      <c r="N64" s="33"/>
      <c r="O64" s="33"/>
      <c r="P64" s="33"/>
      <c r="Q64" s="33"/>
      <c r="R64" s="33"/>
      <c r="S64" s="33"/>
      <c r="T64" s="33"/>
      <c r="U64" s="33"/>
      <c r="V64" s="233"/>
      <c r="W64" s="33"/>
      <c r="X64" s="33"/>
      <c r="Y64" s="33"/>
      <c r="Z64" s="33"/>
      <c r="AA64" s="33"/>
      <c r="AB64" s="33"/>
      <c r="AC64" s="33"/>
      <c r="AD64" s="33"/>
      <c r="AE64" s="33"/>
      <c r="AF64" s="33"/>
      <c r="AG64" s="33"/>
      <c r="AH64" s="233"/>
      <c r="AI64" s="33"/>
    </row>
    <row r="65" spans="5:36" x14ac:dyDescent="0.3">
      <c r="E65" s="225" t="s">
        <v>357</v>
      </c>
      <c r="F65" s="33"/>
      <c r="G65" s="33"/>
      <c r="H65" s="277"/>
      <c r="I65" s="278"/>
      <c r="J65" s="229"/>
      <c r="K65" s="33"/>
      <c r="L65" s="33"/>
      <c r="M65" s="33"/>
      <c r="N65" s="33"/>
      <c r="O65" s="33"/>
      <c r="P65" s="33"/>
      <c r="Q65" s="33"/>
      <c r="R65" s="33"/>
      <c r="S65" s="33"/>
      <c r="T65" s="33"/>
      <c r="U65" s="33"/>
      <c r="V65" s="233"/>
      <c r="W65" s="33"/>
      <c r="X65" s="33"/>
      <c r="Y65" s="33"/>
      <c r="Z65" s="33"/>
      <c r="AA65" s="33"/>
      <c r="AB65" s="33"/>
      <c r="AC65" s="33"/>
      <c r="AD65" s="33"/>
      <c r="AE65" s="33"/>
      <c r="AF65" s="33"/>
      <c r="AG65" s="33"/>
      <c r="AH65" s="233"/>
      <c r="AI65" s="33"/>
    </row>
    <row r="66" spans="5:36" hidden="1" x14ac:dyDescent="0.3">
      <c r="E66" s="225"/>
      <c r="F66" s="33"/>
      <c r="G66" s="33"/>
      <c r="H66" s="277"/>
      <c r="I66" s="278"/>
      <c r="J66" s="229"/>
      <c r="K66" s="33"/>
      <c r="L66" s="33"/>
      <c r="M66" s="33"/>
      <c r="N66" s="33"/>
      <c r="O66" s="33"/>
      <c r="P66" s="33"/>
      <c r="Q66" s="33"/>
      <c r="R66" s="33"/>
      <c r="S66" s="33"/>
      <c r="T66" s="33"/>
      <c r="U66" s="33"/>
      <c r="V66" s="233"/>
      <c r="W66" s="33"/>
      <c r="X66" s="33"/>
      <c r="Y66" s="33"/>
      <c r="Z66" s="33"/>
      <c r="AA66" s="33"/>
      <c r="AB66" s="33"/>
      <c r="AC66" s="33"/>
      <c r="AD66" s="33"/>
      <c r="AE66" s="33"/>
      <c r="AF66" s="33"/>
      <c r="AG66" s="33"/>
      <c r="AH66" s="233"/>
      <c r="AI66" s="33"/>
    </row>
    <row r="67" spans="5:36" hidden="1" x14ac:dyDescent="0.3">
      <c r="E67" s="225"/>
      <c r="H67" s="279"/>
      <c r="I67" s="280"/>
      <c r="J67" s="229"/>
      <c r="K67" s="33"/>
      <c r="L67" s="33"/>
      <c r="M67" s="33"/>
      <c r="N67" s="33"/>
      <c r="O67" s="33"/>
      <c r="P67" s="33"/>
      <c r="Q67" s="33"/>
      <c r="R67" s="33"/>
      <c r="S67" s="33"/>
      <c r="T67" s="33"/>
      <c r="U67" s="33"/>
      <c r="V67" s="233"/>
      <c r="W67" s="33"/>
      <c r="X67" s="33"/>
      <c r="Y67" s="33"/>
      <c r="Z67" s="33"/>
      <c r="AA67" s="33"/>
      <c r="AB67" s="33"/>
      <c r="AC67" s="33"/>
      <c r="AD67" s="33"/>
      <c r="AE67" s="33"/>
      <c r="AF67" s="33"/>
      <c r="AG67" s="33"/>
      <c r="AH67" s="233"/>
      <c r="AI67" s="33"/>
    </row>
    <row r="68" spans="5:36" hidden="1" x14ac:dyDescent="0.3">
      <c r="E68" s="196"/>
      <c r="F68" s="238"/>
      <c r="G68" s="238"/>
      <c r="H68" s="281"/>
      <c r="I68" s="282"/>
      <c r="J68" s="234"/>
      <c r="K68" s="201"/>
      <c r="L68" s="201"/>
      <c r="M68" s="201"/>
      <c r="N68" s="201"/>
      <c r="O68" s="201"/>
      <c r="P68" s="201"/>
      <c r="Q68" s="201"/>
      <c r="R68" s="201"/>
      <c r="S68" s="201"/>
      <c r="T68" s="201"/>
      <c r="U68" s="201"/>
      <c r="V68" s="202"/>
      <c r="W68" s="201"/>
      <c r="X68" s="201"/>
      <c r="Y68" s="201"/>
      <c r="Z68" s="201"/>
      <c r="AA68" s="201"/>
      <c r="AB68" s="201"/>
      <c r="AC68" s="201"/>
      <c r="AD68" s="201"/>
      <c r="AE68" s="201"/>
      <c r="AF68" s="201"/>
      <c r="AG68" s="201"/>
      <c r="AH68" s="202"/>
      <c r="AI68" s="33"/>
    </row>
    <row r="69" spans="5:36" x14ac:dyDescent="0.3">
      <c r="E69" s="203" t="s">
        <v>184</v>
      </c>
      <c r="F69" s="204"/>
      <c r="G69" s="204"/>
      <c r="H69" s="205">
        <f>SUM(H62:H68)</f>
        <v>0</v>
      </c>
      <c r="I69" s="206">
        <f t="shared" ref="I69:AH69" si="17">SUM(I62:I68)</f>
        <v>0</v>
      </c>
      <c r="J69" s="207">
        <f t="shared" si="17"/>
        <v>0</v>
      </c>
      <c r="K69" s="206">
        <f t="shared" si="17"/>
        <v>18836.666666666668</v>
      </c>
      <c r="L69" s="206">
        <f t="shared" si="17"/>
        <v>0</v>
      </c>
      <c r="M69" s="206">
        <f t="shared" si="17"/>
        <v>0</v>
      </c>
      <c r="N69" s="206">
        <f t="shared" si="17"/>
        <v>0</v>
      </c>
      <c r="O69" s="206">
        <f t="shared" si="17"/>
        <v>0</v>
      </c>
      <c r="P69" s="206">
        <f t="shared" si="17"/>
        <v>0</v>
      </c>
      <c r="Q69" s="206">
        <f t="shared" si="17"/>
        <v>0</v>
      </c>
      <c r="R69" s="206">
        <f t="shared" si="17"/>
        <v>0</v>
      </c>
      <c r="S69" s="206">
        <f t="shared" si="17"/>
        <v>0</v>
      </c>
      <c r="T69" s="206">
        <f t="shared" si="17"/>
        <v>0</v>
      </c>
      <c r="U69" s="206">
        <f t="shared" si="17"/>
        <v>0</v>
      </c>
      <c r="V69" s="208">
        <f t="shared" si="17"/>
        <v>0</v>
      </c>
      <c r="W69" s="206">
        <f t="shared" si="17"/>
        <v>0</v>
      </c>
      <c r="X69" s="206">
        <f t="shared" si="17"/>
        <v>0</v>
      </c>
      <c r="Y69" s="206">
        <f t="shared" si="17"/>
        <v>0</v>
      </c>
      <c r="Z69" s="206">
        <f t="shared" si="17"/>
        <v>0</v>
      </c>
      <c r="AA69" s="206">
        <f t="shared" si="17"/>
        <v>0</v>
      </c>
      <c r="AB69" s="206">
        <f t="shared" si="17"/>
        <v>0</v>
      </c>
      <c r="AC69" s="206">
        <f t="shared" si="17"/>
        <v>0</v>
      </c>
      <c r="AD69" s="206">
        <f t="shared" si="17"/>
        <v>0</v>
      </c>
      <c r="AE69" s="206">
        <f t="shared" si="17"/>
        <v>0</v>
      </c>
      <c r="AF69" s="206">
        <f t="shared" si="17"/>
        <v>0</v>
      </c>
      <c r="AG69" s="206">
        <f t="shared" si="17"/>
        <v>0</v>
      </c>
      <c r="AH69" s="208">
        <f t="shared" si="17"/>
        <v>0</v>
      </c>
      <c r="AI69" s="33"/>
      <c r="AJ69" s="33"/>
    </row>
    <row r="70" spans="5:36" x14ac:dyDescent="0.3">
      <c r="E70" s="225"/>
      <c r="H70" s="268"/>
      <c r="J70" s="269"/>
      <c r="K70" s="33"/>
      <c r="L70" s="33"/>
      <c r="M70" s="33"/>
      <c r="N70" s="33"/>
      <c r="O70" s="33"/>
      <c r="P70" s="33"/>
      <c r="Q70" s="33"/>
      <c r="R70" s="33"/>
      <c r="S70" s="33"/>
      <c r="T70" s="33"/>
      <c r="U70" s="33"/>
      <c r="V70" s="241"/>
      <c r="W70" s="33"/>
      <c r="X70" s="33"/>
      <c r="Y70" s="33"/>
      <c r="Z70" s="33"/>
      <c r="AA70" s="33"/>
      <c r="AB70" s="33"/>
      <c r="AC70" s="33"/>
      <c r="AD70" s="33"/>
      <c r="AE70" s="33"/>
      <c r="AF70" s="33"/>
      <c r="AG70" s="33"/>
      <c r="AH70" s="241"/>
      <c r="AI70" s="33"/>
    </row>
    <row r="71" spans="5:36" x14ac:dyDescent="0.3">
      <c r="E71" s="213" t="s">
        <v>161</v>
      </c>
      <c r="F71" s="194"/>
      <c r="G71" s="194"/>
      <c r="H71" s="275"/>
      <c r="I71" s="276"/>
      <c r="J71" s="253"/>
      <c r="K71" s="254">
        <f>SUMIF('G&amp;A Assumptions'!$B:$B,$E71,'G&amp;A Assumptions'!E:E)</f>
        <v>0</v>
      </c>
      <c r="L71" s="254">
        <f>SUMIF('G&amp;A Assumptions'!$B:$B,$E71,'G&amp;A Assumptions'!F:F)</f>
        <v>0</v>
      </c>
      <c r="M71" s="254">
        <f>SUMIF('G&amp;A Assumptions'!$B:$B,$E71,'G&amp;A Assumptions'!G:G)</f>
        <v>0</v>
      </c>
      <c r="N71" s="254">
        <f>SUMIF('G&amp;A Assumptions'!$B:$B,$E71,'G&amp;A Assumptions'!H:H)</f>
        <v>0</v>
      </c>
      <c r="O71" s="254">
        <f>SUMIF('G&amp;A Assumptions'!$B:$B,$E71,'G&amp;A Assumptions'!I:I)</f>
        <v>0</v>
      </c>
      <c r="P71" s="254">
        <f>SUMIF('G&amp;A Assumptions'!$B:$B,$E71,'G&amp;A Assumptions'!J:J)</f>
        <v>0</v>
      </c>
      <c r="Q71" s="254">
        <f>SUMIF('G&amp;A Assumptions'!$B:$B,$E71,'G&amp;A Assumptions'!K:K)</f>
        <v>0</v>
      </c>
      <c r="R71" s="254">
        <f>SUMIF('G&amp;A Assumptions'!$B:$B,$E71,'G&amp;A Assumptions'!L:L)</f>
        <v>0</v>
      </c>
      <c r="S71" s="254">
        <f>SUMIF('G&amp;A Assumptions'!$B:$B,$E71,'G&amp;A Assumptions'!M:M)</f>
        <v>0</v>
      </c>
      <c r="T71" s="254">
        <f>SUMIF('G&amp;A Assumptions'!$B:$B,$E71,'G&amp;A Assumptions'!N:N)</f>
        <v>0</v>
      </c>
      <c r="U71" s="254">
        <f>SUMIF('G&amp;A Assumptions'!$B:$B,$E71,'G&amp;A Assumptions'!O:O)</f>
        <v>0</v>
      </c>
      <c r="V71" s="195">
        <f>SUMIF('G&amp;A Assumptions'!$B:$B,$E71,'G&amp;A Assumptions'!P:P)</f>
        <v>0</v>
      </c>
      <c r="W71" s="254">
        <f>SUMIF('G&amp;A Assumptions'!$B:$B,$E71,'G&amp;A Assumptions'!E:E)</f>
        <v>0</v>
      </c>
      <c r="X71" s="254">
        <f>SUMIF('G&amp;A Assumptions'!$B:$B,$E71,'G&amp;A Assumptions'!F:F)</f>
        <v>0</v>
      </c>
      <c r="Y71" s="254">
        <f>SUMIF('G&amp;A Assumptions'!$B:$B,$E71,'G&amp;A Assumptions'!G:G)</f>
        <v>0</v>
      </c>
      <c r="Z71" s="254">
        <f>SUMIF('G&amp;A Assumptions'!$B:$B,$E71,'G&amp;A Assumptions'!H:H)</f>
        <v>0</v>
      </c>
      <c r="AA71" s="254">
        <f>SUMIF('G&amp;A Assumptions'!$B:$B,$E71,'G&amp;A Assumptions'!I:I)</f>
        <v>0</v>
      </c>
      <c r="AB71" s="254">
        <f>SUMIF('G&amp;A Assumptions'!$B:$B,$E71,'G&amp;A Assumptions'!J:J)</f>
        <v>0</v>
      </c>
      <c r="AC71" s="254">
        <f>SUMIF('G&amp;A Assumptions'!$B:$B,$E71,'G&amp;A Assumptions'!K:K)</f>
        <v>0</v>
      </c>
      <c r="AD71" s="254">
        <f>SUMIF('G&amp;A Assumptions'!$B:$B,$E71,'G&amp;A Assumptions'!L:L)</f>
        <v>0</v>
      </c>
      <c r="AE71" s="254">
        <f>SUMIF('G&amp;A Assumptions'!$B:$B,$E71,'G&amp;A Assumptions'!M:M)</f>
        <v>0</v>
      </c>
      <c r="AF71" s="254">
        <f>SUMIF('G&amp;A Assumptions'!$B:$B,$E71,'G&amp;A Assumptions'!N:N)</f>
        <v>0</v>
      </c>
      <c r="AG71" s="254">
        <f>SUMIF('G&amp;A Assumptions'!$B:$B,$E71,'G&amp;A Assumptions'!O:O)</f>
        <v>0</v>
      </c>
      <c r="AH71" s="195">
        <f>SUMIF('G&amp;A Assumptions'!$B:$B,$E71,'G&amp;A Assumptions'!P:P)</f>
        <v>0</v>
      </c>
      <c r="AI71" s="33"/>
    </row>
    <row r="72" spans="5:36" x14ac:dyDescent="0.3">
      <c r="E72" s="225" t="s">
        <v>162</v>
      </c>
      <c r="F72" s="33"/>
      <c r="G72" s="33"/>
      <c r="H72" s="277"/>
      <c r="I72" s="278"/>
      <c r="J72" s="229"/>
      <c r="K72" s="8">
        <f>SUMIF('G&amp;A Assumptions'!$B:$B,$E72,'G&amp;A Assumptions'!E:E)</f>
        <v>0</v>
      </c>
      <c r="L72" s="8">
        <f>SUMIF('G&amp;A Assumptions'!$B:$B,$E72,'G&amp;A Assumptions'!F:F)</f>
        <v>0</v>
      </c>
      <c r="M72" s="8">
        <f>SUMIF('G&amp;A Assumptions'!$B:$B,$E72,'G&amp;A Assumptions'!G:G)</f>
        <v>0</v>
      </c>
      <c r="N72" s="8">
        <f>SUMIF('G&amp;A Assumptions'!$B:$B,$E72,'G&amp;A Assumptions'!H:H)</f>
        <v>0</v>
      </c>
      <c r="O72" s="8">
        <f>SUMIF('G&amp;A Assumptions'!$B:$B,$E72,'G&amp;A Assumptions'!I:I)</f>
        <v>0</v>
      </c>
      <c r="P72" s="8">
        <f>SUMIF('G&amp;A Assumptions'!$B:$B,$E72,'G&amp;A Assumptions'!J:J)</f>
        <v>0</v>
      </c>
      <c r="Q72" s="8">
        <f>SUMIF('G&amp;A Assumptions'!$B:$B,$E72,'G&amp;A Assumptions'!K:K)</f>
        <v>0</v>
      </c>
      <c r="R72" s="8">
        <f>SUMIF('G&amp;A Assumptions'!$B:$B,$E72,'G&amp;A Assumptions'!L:L)</f>
        <v>0</v>
      </c>
      <c r="S72" s="8">
        <f>SUMIF('G&amp;A Assumptions'!$B:$B,$E72,'G&amp;A Assumptions'!M:M)</f>
        <v>0</v>
      </c>
      <c r="T72" s="8">
        <f>SUMIF('G&amp;A Assumptions'!$B:$B,$E72,'G&amp;A Assumptions'!N:N)</f>
        <v>0</v>
      </c>
      <c r="U72" s="8">
        <f>SUMIF('G&amp;A Assumptions'!$B:$B,$E72,'G&amp;A Assumptions'!O:O)</f>
        <v>0</v>
      </c>
      <c r="V72" s="233">
        <f>SUMIF('G&amp;A Assumptions'!$B:$B,$E72,'G&amp;A Assumptions'!P:P)</f>
        <v>0</v>
      </c>
      <c r="W72" s="8">
        <f>SUMIF('G&amp;A Assumptions'!$B:$B,$E72,'G&amp;A Assumptions'!E:E)</f>
        <v>0</v>
      </c>
      <c r="X72" s="8">
        <f>SUMIF('G&amp;A Assumptions'!$B:$B,$E72,'G&amp;A Assumptions'!F:F)</f>
        <v>0</v>
      </c>
      <c r="Y72" s="8">
        <f>SUMIF('G&amp;A Assumptions'!$B:$B,$E72,'G&amp;A Assumptions'!G:G)</f>
        <v>0</v>
      </c>
      <c r="Z72" s="8">
        <f>SUMIF('G&amp;A Assumptions'!$B:$B,$E72,'G&amp;A Assumptions'!H:H)</f>
        <v>0</v>
      </c>
      <c r="AA72" s="8">
        <f>SUMIF('G&amp;A Assumptions'!$B:$B,$E72,'G&amp;A Assumptions'!I:I)</f>
        <v>0</v>
      </c>
      <c r="AB72" s="8">
        <f>SUMIF('G&amp;A Assumptions'!$B:$B,$E72,'G&amp;A Assumptions'!J:J)</f>
        <v>0</v>
      </c>
      <c r="AC72" s="8">
        <f>SUMIF('G&amp;A Assumptions'!$B:$B,$E72,'G&amp;A Assumptions'!K:K)</f>
        <v>0</v>
      </c>
      <c r="AD72" s="8">
        <f>SUMIF('G&amp;A Assumptions'!$B:$B,$E72,'G&amp;A Assumptions'!L:L)</f>
        <v>0</v>
      </c>
      <c r="AE72" s="8">
        <f>SUMIF('G&amp;A Assumptions'!$B:$B,$E72,'G&amp;A Assumptions'!M:M)</f>
        <v>0</v>
      </c>
      <c r="AF72" s="8">
        <f>SUMIF('G&amp;A Assumptions'!$B:$B,$E72,'G&amp;A Assumptions'!N:N)</f>
        <v>0</v>
      </c>
      <c r="AG72" s="8">
        <f>SUMIF('G&amp;A Assumptions'!$B:$B,$E72,'G&amp;A Assumptions'!O:O)</f>
        <v>0</v>
      </c>
      <c r="AH72" s="233">
        <f>SUMIF('G&amp;A Assumptions'!$B:$B,$E72,'G&amp;A Assumptions'!P:P)</f>
        <v>0</v>
      </c>
      <c r="AI72" s="33"/>
    </row>
    <row r="73" spans="5:36" x14ac:dyDescent="0.3">
      <c r="E73" s="225" t="s">
        <v>163</v>
      </c>
      <c r="F73" s="33"/>
      <c r="G73" s="33"/>
      <c r="H73" s="277"/>
      <c r="I73" s="278"/>
      <c r="J73" s="229"/>
      <c r="K73" s="8">
        <f>SUMIF('G&amp;A Assumptions'!$B:$B,$E73,'G&amp;A Assumptions'!E:E)</f>
        <v>0</v>
      </c>
      <c r="L73" s="8">
        <f>SUMIF('G&amp;A Assumptions'!$B:$B,$E73,'G&amp;A Assumptions'!F:F)</f>
        <v>0</v>
      </c>
      <c r="M73" s="8">
        <f>SUMIF('G&amp;A Assumptions'!$B:$B,$E73,'G&amp;A Assumptions'!G:G)</f>
        <v>0</v>
      </c>
      <c r="N73" s="8">
        <f>SUMIF('G&amp;A Assumptions'!$B:$B,$E73,'G&amp;A Assumptions'!H:H)</f>
        <v>0</v>
      </c>
      <c r="O73" s="8">
        <f>SUMIF('G&amp;A Assumptions'!$B:$B,$E73,'G&amp;A Assumptions'!I:I)</f>
        <v>0</v>
      </c>
      <c r="P73" s="8">
        <f>SUMIF('G&amp;A Assumptions'!$B:$B,$E73,'G&amp;A Assumptions'!J:J)</f>
        <v>0</v>
      </c>
      <c r="Q73" s="8">
        <f>SUMIF('G&amp;A Assumptions'!$B:$B,$E73,'G&amp;A Assumptions'!K:K)</f>
        <v>0</v>
      </c>
      <c r="R73" s="8">
        <f>SUMIF('G&amp;A Assumptions'!$B:$B,$E73,'G&amp;A Assumptions'!L:L)</f>
        <v>0</v>
      </c>
      <c r="S73" s="8">
        <f>SUMIF('G&amp;A Assumptions'!$B:$B,$E73,'G&amp;A Assumptions'!M:M)</f>
        <v>0</v>
      </c>
      <c r="T73" s="8">
        <f>SUMIF('G&amp;A Assumptions'!$B:$B,$E73,'G&amp;A Assumptions'!N:N)</f>
        <v>0</v>
      </c>
      <c r="U73" s="8">
        <f>SUMIF('G&amp;A Assumptions'!$B:$B,$E73,'G&amp;A Assumptions'!O:O)</f>
        <v>0</v>
      </c>
      <c r="V73" s="233">
        <f>SUMIF('G&amp;A Assumptions'!$B:$B,$E73,'G&amp;A Assumptions'!P:P)</f>
        <v>0</v>
      </c>
      <c r="W73" s="8">
        <f>SUMIF('G&amp;A Assumptions'!$B:$B,$E73,'G&amp;A Assumptions'!E:E)</f>
        <v>0</v>
      </c>
      <c r="X73" s="8">
        <f>SUMIF('G&amp;A Assumptions'!$B:$B,$E73,'G&amp;A Assumptions'!F:F)</f>
        <v>0</v>
      </c>
      <c r="Y73" s="8">
        <f>SUMIF('G&amp;A Assumptions'!$B:$B,$E73,'G&amp;A Assumptions'!G:G)</f>
        <v>0</v>
      </c>
      <c r="Z73" s="8">
        <f>SUMIF('G&amp;A Assumptions'!$B:$B,$E73,'G&amp;A Assumptions'!H:H)</f>
        <v>0</v>
      </c>
      <c r="AA73" s="8">
        <f>SUMIF('G&amp;A Assumptions'!$B:$B,$E73,'G&amp;A Assumptions'!I:I)</f>
        <v>0</v>
      </c>
      <c r="AB73" s="8">
        <f>SUMIF('G&amp;A Assumptions'!$B:$B,$E73,'G&amp;A Assumptions'!J:J)</f>
        <v>0</v>
      </c>
      <c r="AC73" s="8">
        <f>SUMIF('G&amp;A Assumptions'!$B:$B,$E73,'G&amp;A Assumptions'!K:K)</f>
        <v>0</v>
      </c>
      <c r="AD73" s="8">
        <f>SUMIF('G&amp;A Assumptions'!$B:$B,$E73,'G&amp;A Assumptions'!L:L)</f>
        <v>0</v>
      </c>
      <c r="AE73" s="8">
        <f>SUMIF('G&amp;A Assumptions'!$B:$B,$E73,'G&amp;A Assumptions'!M:M)</f>
        <v>0</v>
      </c>
      <c r="AF73" s="8">
        <f>SUMIF('G&amp;A Assumptions'!$B:$B,$E73,'G&amp;A Assumptions'!N:N)</f>
        <v>0</v>
      </c>
      <c r="AG73" s="8">
        <f>SUMIF('G&amp;A Assumptions'!$B:$B,$E73,'G&amp;A Assumptions'!O:O)</f>
        <v>0</v>
      </c>
      <c r="AH73" s="233">
        <f>SUMIF('G&amp;A Assumptions'!$B:$B,$E73,'G&amp;A Assumptions'!P:P)</f>
        <v>0</v>
      </c>
      <c r="AI73" s="33"/>
    </row>
    <row r="74" spans="5:36" x14ac:dyDescent="0.3">
      <c r="E74" s="225" t="s">
        <v>164</v>
      </c>
      <c r="F74" s="33"/>
      <c r="G74" s="33"/>
      <c r="H74" s="277"/>
      <c r="I74" s="278"/>
      <c r="J74" s="229"/>
      <c r="K74" s="8">
        <f>SUMIF('G&amp;A Assumptions'!$B:$B,$E74,'G&amp;A Assumptions'!E:E)</f>
        <v>0</v>
      </c>
      <c r="L74" s="8">
        <f>SUMIF('G&amp;A Assumptions'!$B:$B,$E74,'G&amp;A Assumptions'!F:F)</f>
        <v>0</v>
      </c>
      <c r="M74" s="8">
        <f>SUMIF('G&amp;A Assumptions'!$B:$B,$E74,'G&amp;A Assumptions'!G:G)</f>
        <v>0</v>
      </c>
      <c r="N74" s="8">
        <f>SUMIF('G&amp;A Assumptions'!$B:$B,$E74,'G&amp;A Assumptions'!H:H)</f>
        <v>0</v>
      </c>
      <c r="O74" s="8">
        <f>SUMIF('G&amp;A Assumptions'!$B:$B,$E74,'G&amp;A Assumptions'!I:I)</f>
        <v>0</v>
      </c>
      <c r="P74" s="8">
        <f>SUMIF('G&amp;A Assumptions'!$B:$B,$E74,'G&amp;A Assumptions'!J:J)</f>
        <v>0</v>
      </c>
      <c r="Q74" s="8">
        <f>SUMIF('G&amp;A Assumptions'!$B:$B,$E74,'G&amp;A Assumptions'!K:K)</f>
        <v>0</v>
      </c>
      <c r="R74" s="8">
        <f>SUMIF('G&amp;A Assumptions'!$B:$B,$E74,'G&amp;A Assumptions'!L:L)</f>
        <v>0</v>
      </c>
      <c r="S74" s="8">
        <f>SUMIF('G&amp;A Assumptions'!$B:$B,$E74,'G&amp;A Assumptions'!M:M)</f>
        <v>0</v>
      </c>
      <c r="T74" s="8">
        <f>SUMIF('G&amp;A Assumptions'!$B:$B,$E74,'G&amp;A Assumptions'!N:N)</f>
        <v>0</v>
      </c>
      <c r="U74" s="8">
        <f>SUMIF('G&amp;A Assumptions'!$B:$B,$E74,'G&amp;A Assumptions'!O:O)</f>
        <v>0</v>
      </c>
      <c r="V74" s="233">
        <f>SUMIF('G&amp;A Assumptions'!$B:$B,$E74,'G&amp;A Assumptions'!P:P)</f>
        <v>0</v>
      </c>
      <c r="W74" s="8">
        <f>SUMIF('G&amp;A Assumptions'!$B:$B,$E74,'G&amp;A Assumptions'!E:E)</f>
        <v>0</v>
      </c>
      <c r="X74" s="8">
        <f>SUMIF('G&amp;A Assumptions'!$B:$B,$E74,'G&amp;A Assumptions'!F:F)</f>
        <v>0</v>
      </c>
      <c r="Y74" s="8">
        <f>SUMIF('G&amp;A Assumptions'!$B:$B,$E74,'G&amp;A Assumptions'!G:G)</f>
        <v>0</v>
      </c>
      <c r="Z74" s="8">
        <f>SUMIF('G&amp;A Assumptions'!$B:$B,$E74,'G&amp;A Assumptions'!H:H)</f>
        <v>0</v>
      </c>
      <c r="AA74" s="8">
        <f>SUMIF('G&amp;A Assumptions'!$B:$B,$E74,'G&amp;A Assumptions'!I:I)</f>
        <v>0</v>
      </c>
      <c r="AB74" s="8">
        <f>SUMIF('G&amp;A Assumptions'!$B:$B,$E74,'G&amp;A Assumptions'!J:J)</f>
        <v>0</v>
      </c>
      <c r="AC74" s="8">
        <f>SUMIF('G&amp;A Assumptions'!$B:$B,$E74,'G&amp;A Assumptions'!K:K)</f>
        <v>0</v>
      </c>
      <c r="AD74" s="8">
        <f>SUMIF('G&amp;A Assumptions'!$B:$B,$E74,'G&amp;A Assumptions'!L:L)</f>
        <v>0</v>
      </c>
      <c r="AE74" s="8">
        <f>SUMIF('G&amp;A Assumptions'!$B:$B,$E74,'G&amp;A Assumptions'!M:M)</f>
        <v>0</v>
      </c>
      <c r="AF74" s="8">
        <f>SUMIF('G&amp;A Assumptions'!$B:$B,$E74,'G&amp;A Assumptions'!N:N)</f>
        <v>0</v>
      </c>
      <c r="AG74" s="8">
        <f>SUMIF('G&amp;A Assumptions'!$B:$B,$E74,'G&amp;A Assumptions'!O:O)</f>
        <v>0</v>
      </c>
      <c r="AH74" s="233">
        <f>SUMIF('G&amp;A Assumptions'!$B:$B,$E74,'G&amp;A Assumptions'!P:P)</f>
        <v>0</v>
      </c>
      <c r="AI74" s="33"/>
    </row>
    <row r="75" spans="5:36" x14ac:dyDescent="0.3">
      <c r="E75" s="225"/>
      <c r="F75" s="33"/>
      <c r="G75" s="33"/>
      <c r="H75" s="277"/>
      <c r="I75" s="278"/>
      <c r="J75" s="229"/>
      <c r="K75" s="8">
        <f>SUMIF('G&amp;A Assumptions'!$B:$B,$E75,'G&amp;A Assumptions'!E:E)</f>
        <v>0</v>
      </c>
      <c r="L75" s="8">
        <f>SUMIF('G&amp;A Assumptions'!$B:$B,$E75,'G&amp;A Assumptions'!F:F)</f>
        <v>0</v>
      </c>
      <c r="M75" s="8">
        <f>SUMIF('G&amp;A Assumptions'!$B:$B,$E75,'G&amp;A Assumptions'!G:G)</f>
        <v>0</v>
      </c>
      <c r="N75" s="8">
        <f>SUMIF('G&amp;A Assumptions'!$B:$B,$E75,'G&amp;A Assumptions'!H:H)</f>
        <v>0</v>
      </c>
      <c r="O75" s="8">
        <f>SUMIF('G&amp;A Assumptions'!$B:$B,$E75,'G&amp;A Assumptions'!I:I)</f>
        <v>0</v>
      </c>
      <c r="P75" s="8">
        <f>SUMIF('G&amp;A Assumptions'!$B:$B,$E75,'G&amp;A Assumptions'!J:J)</f>
        <v>0</v>
      </c>
      <c r="Q75" s="8">
        <f>SUMIF('G&amp;A Assumptions'!$B:$B,$E75,'G&amp;A Assumptions'!K:K)</f>
        <v>0</v>
      </c>
      <c r="R75" s="8">
        <f>SUMIF('G&amp;A Assumptions'!$B:$B,$E75,'G&amp;A Assumptions'!L:L)</f>
        <v>0</v>
      </c>
      <c r="S75" s="8">
        <f>SUMIF('G&amp;A Assumptions'!$B:$B,$E75,'G&amp;A Assumptions'!M:M)</f>
        <v>0</v>
      </c>
      <c r="T75" s="8">
        <f>SUMIF('G&amp;A Assumptions'!$B:$B,$E75,'G&amp;A Assumptions'!N:N)</f>
        <v>0</v>
      </c>
      <c r="U75" s="8">
        <f>SUMIF('G&amp;A Assumptions'!$B:$B,$E75,'G&amp;A Assumptions'!O:O)</f>
        <v>0</v>
      </c>
      <c r="V75" s="233">
        <f>SUMIF('G&amp;A Assumptions'!$B:$B,$E75,'G&amp;A Assumptions'!P:P)</f>
        <v>0</v>
      </c>
      <c r="W75" s="8">
        <f>SUMIF('G&amp;A Assumptions'!$B:$B,$E75,'G&amp;A Assumptions'!E:E)</f>
        <v>0</v>
      </c>
      <c r="X75" s="8">
        <f>SUMIF('G&amp;A Assumptions'!$B:$B,$E75,'G&amp;A Assumptions'!F:F)</f>
        <v>0</v>
      </c>
      <c r="Y75" s="8">
        <f>SUMIF('G&amp;A Assumptions'!$B:$B,$E75,'G&amp;A Assumptions'!G:G)</f>
        <v>0</v>
      </c>
      <c r="Z75" s="8">
        <f>SUMIF('G&amp;A Assumptions'!$B:$B,$E75,'G&amp;A Assumptions'!H:H)</f>
        <v>0</v>
      </c>
      <c r="AA75" s="8">
        <f>SUMIF('G&amp;A Assumptions'!$B:$B,$E75,'G&amp;A Assumptions'!I:I)</f>
        <v>0</v>
      </c>
      <c r="AB75" s="8">
        <f>SUMIF('G&amp;A Assumptions'!$B:$B,$E75,'G&amp;A Assumptions'!J:J)</f>
        <v>0</v>
      </c>
      <c r="AC75" s="8">
        <f>SUMIF('G&amp;A Assumptions'!$B:$B,$E75,'G&amp;A Assumptions'!K:K)</f>
        <v>0</v>
      </c>
      <c r="AD75" s="8">
        <f>SUMIF('G&amp;A Assumptions'!$B:$B,$E75,'G&amp;A Assumptions'!L:L)</f>
        <v>0</v>
      </c>
      <c r="AE75" s="8">
        <f>SUMIF('G&amp;A Assumptions'!$B:$B,$E75,'G&amp;A Assumptions'!M:M)</f>
        <v>0</v>
      </c>
      <c r="AF75" s="8">
        <f>SUMIF('G&amp;A Assumptions'!$B:$B,$E75,'G&amp;A Assumptions'!N:N)</f>
        <v>0</v>
      </c>
      <c r="AG75" s="8">
        <f>SUMIF('G&amp;A Assumptions'!$B:$B,$E75,'G&amp;A Assumptions'!O:O)</f>
        <v>0</v>
      </c>
      <c r="AH75" s="233">
        <f>SUMIF('G&amp;A Assumptions'!$B:$B,$E75,'G&amp;A Assumptions'!P:P)</f>
        <v>0</v>
      </c>
      <c r="AI75" s="33"/>
    </row>
    <row r="76" spans="5:36" x14ac:dyDescent="0.3">
      <c r="E76" s="225" t="s">
        <v>331</v>
      </c>
      <c r="F76" s="33"/>
      <c r="G76" s="33"/>
      <c r="H76" s="277"/>
      <c r="I76" s="278"/>
      <c r="J76" s="229"/>
      <c r="K76" s="8">
        <f>SUMIF('G&amp;A Assumptions'!$B:$B,$E76,'G&amp;A Assumptions'!E:E)</f>
        <v>0</v>
      </c>
      <c r="L76" s="8">
        <f>SUMIF('G&amp;A Assumptions'!$B:$B,$E76,'G&amp;A Assumptions'!F:F)</f>
        <v>0</v>
      </c>
      <c r="M76" s="8">
        <f>SUMIF('G&amp;A Assumptions'!$B:$B,$E76,'G&amp;A Assumptions'!G:G)</f>
        <v>0</v>
      </c>
      <c r="N76" s="8">
        <f>SUMIF('G&amp;A Assumptions'!$B:$B,$E76,'G&amp;A Assumptions'!H:H)</f>
        <v>0</v>
      </c>
      <c r="O76" s="8">
        <f>SUMIF('G&amp;A Assumptions'!$B:$B,$E76,'G&amp;A Assumptions'!I:I)</f>
        <v>0</v>
      </c>
      <c r="P76" s="8">
        <f>SUMIF('G&amp;A Assumptions'!$B:$B,$E76,'G&amp;A Assumptions'!J:J)</f>
        <v>0</v>
      </c>
      <c r="Q76" s="8">
        <f>SUMIF('G&amp;A Assumptions'!$B:$B,$E76,'G&amp;A Assumptions'!K:K)</f>
        <v>0</v>
      </c>
      <c r="R76" s="8">
        <f>SUMIF('G&amp;A Assumptions'!$B:$B,$E76,'G&amp;A Assumptions'!L:L)</f>
        <v>0</v>
      </c>
      <c r="S76" s="8">
        <f>SUMIF('G&amp;A Assumptions'!$B:$B,$E76,'G&amp;A Assumptions'!M:M)</f>
        <v>0</v>
      </c>
      <c r="T76" s="8">
        <f>SUMIF('G&amp;A Assumptions'!$B:$B,$E76,'G&amp;A Assumptions'!N:N)</f>
        <v>0</v>
      </c>
      <c r="U76" s="8">
        <f>SUMIF('G&amp;A Assumptions'!$B:$B,$E76,'G&amp;A Assumptions'!O:O)</f>
        <v>0</v>
      </c>
      <c r="V76" s="233">
        <f>SUMIF('G&amp;A Assumptions'!$B:$B,$E76,'G&amp;A Assumptions'!P:P)</f>
        <v>0</v>
      </c>
      <c r="W76" s="8">
        <f>SUMIF('G&amp;A Assumptions'!$B:$B,$E76,'G&amp;A Assumptions'!E:E)</f>
        <v>0</v>
      </c>
      <c r="X76" s="8">
        <f>SUMIF('G&amp;A Assumptions'!$B:$B,$E76,'G&amp;A Assumptions'!F:F)</f>
        <v>0</v>
      </c>
      <c r="Y76" s="8">
        <f>SUMIF('G&amp;A Assumptions'!$B:$B,$E76,'G&amp;A Assumptions'!G:G)</f>
        <v>0</v>
      </c>
      <c r="Z76" s="8">
        <f>SUMIF('G&amp;A Assumptions'!$B:$B,$E76,'G&amp;A Assumptions'!H:H)</f>
        <v>0</v>
      </c>
      <c r="AA76" s="8">
        <f>SUMIF('G&amp;A Assumptions'!$B:$B,$E76,'G&amp;A Assumptions'!I:I)</f>
        <v>0</v>
      </c>
      <c r="AB76" s="8">
        <f>SUMIF('G&amp;A Assumptions'!$B:$B,$E76,'G&amp;A Assumptions'!J:J)</f>
        <v>0</v>
      </c>
      <c r="AC76" s="8">
        <f>SUMIF('G&amp;A Assumptions'!$B:$B,$E76,'G&amp;A Assumptions'!K:K)</f>
        <v>0</v>
      </c>
      <c r="AD76" s="8">
        <f>SUMIF('G&amp;A Assumptions'!$B:$B,$E76,'G&amp;A Assumptions'!L:L)</f>
        <v>0</v>
      </c>
      <c r="AE76" s="8">
        <f>SUMIF('G&amp;A Assumptions'!$B:$B,$E76,'G&amp;A Assumptions'!M:M)</f>
        <v>0</v>
      </c>
      <c r="AF76" s="8">
        <f>SUMIF('G&amp;A Assumptions'!$B:$B,$E76,'G&amp;A Assumptions'!N:N)</f>
        <v>0</v>
      </c>
      <c r="AG76" s="8">
        <f>SUMIF('G&amp;A Assumptions'!$B:$B,$E76,'G&amp;A Assumptions'!O:O)</f>
        <v>0</v>
      </c>
      <c r="AH76" s="233">
        <f>SUMIF('G&amp;A Assumptions'!$B:$B,$E76,'G&amp;A Assumptions'!P:P)</f>
        <v>0</v>
      </c>
      <c r="AI76" s="33"/>
    </row>
    <row r="77" spans="5:36" x14ac:dyDescent="0.3">
      <c r="E77" s="225" t="s">
        <v>332</v>
      </c>
      <c r="F77" s="33"/>
      <c r="G77" s="33"/>
      <c r="H77" s="277"/>
      <c r="I77" s="278"/>
      <c r="J77" s="229"/>
      <c r="K77" s="8">
        <f>SUMIF('G&amp;A Assumptions'!$B:$B,$E77,'G&amp;A Assumptions'!E:E)</f>
        <v>0</v>
      </c>
      <c r="L77" s="8">
        <f>SUMIF('G&amp;A Assumptions'!$B:$B,$E77,'G&amp;A Assumptions'!F:F)</f>
        <v>0</v>
      </c>
      <c r="M77" s="8">
        <f>SUMIF('G&amp;A Assumptions'!$B:$B,$E77,'G&amp;A Assumptions'!G:G)</f>
        <v>0</v>
      </c>
      <c r="N77" s="8">
        <f>SUMIF('G&amp;A Assumptions'!$B:$B,$E77,'G&amp;A Assumptions'!H:H)</f>
        <v>0</v>
      </c>
      <c r="O77" s="8">
        <f>SUMIF('G&amp;A Assumptions'!$B:$B,$E77,'G&amp;A Assumptions'!I:I)</f>
        <v>0</v>
      </c>
      <c r="P77" s="8">
        <f>SUMIF('G&amp;A Assumptions'!$B:$B,$E77,'G&amp;A Assumptions'!J:J)</f>
        <v>0</v>
      </c>
      <c r="Q77" s="8">
        <f>SUMIF('G&amp;A Assumptions'!$B:$B,$E77,'G&amp;A Assumptions'!K:K)</f>
        <v>0</v>
      </c>
      <c r="R77" s="8">
        <f>SUMIF('G&amp;A Assumptions'!$B:$B,$E77,'G&amp;A Assumptions'!L:L)</f>
        <v>0</v>
      </c>
      <c r="S77" s="8">
        <f>SUMIF('G&amp;A Assumptions'!$B:$B,$E77,'G&amp;A Assumptions'!M:M)</f>
        <v>0</v>
      </c>
      <c r="T77" s="8">
        <f>SUMIF('G&amp;A Assumptions'!$B:$B,$E77,'G&amp;A Assumptions'!N:N)</f>
        <v>0</v>
      </c>
      <c r="U77" s="8">
        <f>SUMIF('G&amp;A Assumptions'!$B:$B,$E77,'G&amp;A Assumptions'!O:O)</f>
        <v>0</v>
      </c>
      <c r="V77" s="233">
        <f>SUMIF('G&amp;A Assumptions'!$B:$B,$E77,'G&amp;A Assumptions'!P:P)</f>
        <v>0</v>
      </c>
      <c r="W77" s="8">
        <f>SUMIF('G&amp;A Assumptions'!$B:$B,$E77,'G&amp;A Assumptions'!E:E)</f>
        <v>0</v>
      </c>
      <c r="X77" s="8">
        <f>SUMIF('G&amp;A Assumptions'!$B:$B,$E77,'G&amp;A Assumptions'!F:F)</f>
        <v>0</v>
      </c>
      <c r="Y77" s="8">
        <f>SUMIF('G&amp;A Assumptions'!$B:$B,$E77,'G&amp;A Assumptions'!G:G)</f>
        <v>0</v>
      </c>
      <c r="Z77" s="8">
        <f>SUMIF('G&amp;A Assumptions'!$B:$B,$E77,'G&amp;A Assumptions'!H:H)</f>
        <v>0</v>
      </c>
      <c r="AA77" s="8">
        <f>SUMIF('G&amp;A Assumptions'!$B:$B,$E77,'G&amp;A Assumptions'!I:I)</f>
        <v>0</v>
      </c>
      <c r="AB77" s="8">
        <f>SUMIF('G&amp;A Assumptions'!$B:$B,$E77,'G&amp;A Assumptions'!J:J)</f>
        <v>0</v>
      </c>
      <c r="AC77" s="8">
        <f>SUMIF('G&amp;A Assumptions'!$B:$B,$E77,'G&amp;A Assumptions'!K:K)</f>
        <v>0</v>
      </c>
      <c r="AD77" s="8">
        <f>SUMIF('G&amp;A Assumptions'!$B:$B,$E77,'G&amp;A Assumptions'!L:L)</f>
        <v>0</v>
      </c>
      <c r="AE77" s="8">
        <f>SUMIF('G&amp;A Assumptions'!$B:$B,$E77,'G&amp;A Assumptions'!M:M)</f>
        <v>0</v>
      </c>
      <c r="AF77" s="8">
        <f>SUMIF('G&amp;A Assumptions'!$B:$B,$E77,'G&amp;A Assumptions'!N:N)</f>
        <v>0</v>
      </c>
      <c r="AG77" s="8">
        <f>SUMIF('G&amp;A Assumptions'!$B:$B,$E77,'G&amp;A Assumptions'!O:O)</f>
        <v>0</v>
      </c>
      <c r="AH77" s="233">
        <f>SUMIF('G&amp;A Assumptions'!$B:$B,$E77,'G&amp;A Assumptions'!P:P)</f>
        <v>0</v>
      </c>
      <c r="AI77" s="33"/>
    </row>
    <row r="78" spans="5:36" x14ac:dyDescent="0.3">
      <c r="E78" s="225" t="s">
        <v>333</v>
      </c>
      <c r="F78" s="33"/>
      <c r="G78" s="33"/>
      <c r="H78" s="277"/>
      <c r="I78" s="278"/>
      <c r="J78" s="229"/>
      <c r="K78" s="8">
        <f>SUMIF('G&amp;A Assumptions'!$B:$B,$E78,'G&amp;A Assumptions'!E:E)</f>
        <v>0</v>
      </c>
      <c r="L78" s="8">
        <f>SUMIF('G&amp;A Assumptions'!$B:$B,$E78,'G&amp;A Assumptions'!F:F)</f>
        <v>0</v>
      </c>
      <c r="M78" s="8">
        <f>SUMIF('G&amp;A Assumptions'!$B:$B,$E78,'G&amp;A Assumptions'!G:G)</f>
        <v>0</v>
      </c>
      <c r="N78" s="8">
        <f>SUMIF('G&amp;A Assumptions'!$B:$B,$E78,'G&amp;A Assumptions'!H:H)</f>
        <v>0</v>
      </c>
      <c r="O78" s="8">
        <f>SUMIF('G&amp;A Assumptions'!$B:$B,$E78,'G&amp;A Assumptions'!I:I)</f>
        <v>0</v>
      </c>
      <c r="P78" s="8">
        <f>SUMIF('G&amp;A Assumptions'!$B:$B,$E78,'G&amp;A Assumptions'!J:J)</f>
        <v>0</v>
      </c>
      <c r="Q78" s="8">
        <f>SUMIF('G&amp;A Assumptions'!$B:$B,$E78,'G&amp;A Assumptions'!K:K)</f>
        <v>0</v>
      </c>
      <c r="R78" s="8">
        <f>SUMIF('G&amp;A Assumptions'!$B:$B,$E78,'G&amp;A Assumptions'!L:L)</f>
        <v>0</v>
      </c>
      <c r="S78" s="8">
        <f>SUMIF('G&amp;A Assumptions'!$B:$B,$E78,'G&amp;A Assumptions'!M:M)</f>
        <v>0</v>
      </c>
      <c r="T78" s="8">
        <f>SUMIF('G&amp;A Assumptions'!$B:$B,$E78,'G&amp;A Assumptions'!N:N)</f>
        <v>0</v>
      </c>
      <c r="U78" s="8">
        <f>SUMIF('G&amp;A Assumptions'!$B:$B,$E78,'G&amp;A Assumptions'!O:O)</f>
        <v>0</v>
      </c>
      <c r="V78" s="233">
        <f>SUMIF('G&amp;A Assumptions'!$B:$B,$E78,'G&amp;A Assumptions'!P:P)</f>
        <v>0</v>
      </c>
      <c r="W78" s="8">
        <f>SUMIF('G&amp;A Assumptions'!$B:$B,$E78,'G&amp;A Assumptions'!E:E)</f>
        <v>0</v>
      </c>
      <c r="X78" s="8">
        <f>SUMIF('G&amp;A Assumptions'!$B:$B,$E78,'G&amp;A Assumptions'!F:F)</f>
        <v>0</v>
      </c>
      <c r="Y78" s="8">
        <f>SUMIF('G&amp;A Assumptions'!$B:$B,$E78,'G&amp;A Assumptions'!G:G)</f>
        <v>0</v>
      </c>
      <c r="Z78" s="8">
        <f>SUMIF('G&amp;A Assumptions'!$B:$B,$E78,'G&amp;A Assumptions'!H:H)</f>
        <v>0</v>
      </c>
      <c r="AA78" s="8">
        <f>SUMIF('G&amp;A Assumptions'!$B:$B,$E78,'G&amp;A Assumptions'!I:I)</f>
        <v>0</v>
      </c>
      <c r="AB78" s="8">
        <f>SUMIF('G&amp;A Assumptions'!$B:$B,$E78,'G&amp;A Assumptions'!J:J)</f>
        <v>0</v>
      </c>
      <c r="AC78" s="8">
        <f>SUMIF('G&amp;A Assumptions'!$B:$B,$E78,'G&amp;A Assumptions'!K:K)</f>
        <v>0</v>
      </c>
      <c r="AD78" s="8">
        <f>SUMIF('G&amp;A Assumptions'!$B:$B,$E78,'G&amp;A Assumptions'!L:L)</f>
        <v>0</v>
      </c>
      <c r="AE78" s="8">
        <f>SUMIF('G&amp;A Assumptions'!$B:$B,$E78,'G&amp;A Assumptions'!M:M)</f>
        <v>0</v>
      </c>
      <c r="AF78" s="8">
        <f>SUMIF('G&amp;A Assumptions'!$B:$B,$E78,'G&amp;A Assumptions'!N:N)</f>
        <v>0</v>
      </c>
      <c r="AG78" s="8">
        <f>SUMIF('G&amp;A Assumptions'!$B:$B,$E78,'G&amp;A Assumptions'!O:O)</f>
        <v>0</v>
      </c>
      <c r="AH78" s="233">
        <f>SUMIF('G&amp;A Assumptions'!$B:$B,$E78,'G&amp;A Assumptions'!P:P)</f>
        <v>0</v>
      </c>
      <c r="AI78" s="33"/>
    </row>
    <row r="79" spans="5:36" x14ac:dyDescent="0.3">
      <c r="E79" s="225" t="s">
        <v>176</v>
      </c>
      <c r="F79" s="33"/>
      <c r="G79" s="33"/>
      <c r="H79" s="277"/>
      <c r="I79" s="278"/>
      <c r="J79" s="229"/>
      <c r="K79" s="8">
        <f>SUMIF('G&amp;A Assumptions'!$B:$B,$E79,'G&amp;A Assumptions'!E:E)</f>
        <v>0</v>
      </c>
      <c r="L79" s="8">
        <f>SUMIF('G&amp;A Assumptions'!$B:$B,$E79,'G&amp;A Assumptions'!F:F)</f>
        <v>0</v>
      </c>
      <c r="M79" s="8">
        <f>SUMIF('G&amp;A Assumptions'!$B:$B,$E79,'G&amp;A Assumptions'!G:G)</f>
        <v>0</v>
      </c>
      <c r="N79" s="8">
        <f>SUMIF('G&amp;A Assumptions'!$B:$B,$E79,'G&amp;A Assumptions'!H:H)</f>
        <v>0</v>
      </c>
      <c r="O79" s="8">
        <f>SUMIF('G&amp;A Assumptions'!$B:$B,$E79,'G&amp;A Assumptions'!I:I)</f>
        <v>0</v>
      </c>
      <c r="P79" s="8">
        <f>SUMIF('G&amp;A Assumptions'!$B:$B,$E79,'G&amp;A Assumptions'!J:J)</f>
        <v>0</v>
      </c>
      <c r="Q79" s="8">
        <f>SUMIF('G&amp;A Assumptions'!$B:$B,$E79,'G&amp;A Assumptions'!K:K)</f>
        <v>0</v>
      </c>
      <c r="R79" s="8">
        <f>SUMIF('G&amp;A Assumptions'!$B:$B,$E79,'G&amp;A Assumptions'!L:L)</f>
        <v>0</v>
      </c>
      <c r="S79" s="8">
        <f>SUMIF('G&amp;A Assumptions'!$B:$B,$E79,'G&amp;A Assumptions'!M:M)</f>
        <v>0</v>
      </c>
      <c r="T79" s="8">
        <f>SUMIF('G&amp;A Assumptions'!$B:$B,$E79,'G&amp;A Assumptions'!N:N)</f>
        <v>0</v>
      </c>
      <c r="U79" s="8">
        <f>SUMIF('G&amp;A Assumptions'!$B:$B,$E79,'G&amp;A Assumptions'!O:O)</f>
        <v>0</v>
      </c>
      <c r="V79" s="233">
        <f>SUMIF('G&amp;A Assumptions'!$B:$B,$E79,'G&amp;A Assumptions'!P:P)</f>
        <v>0</v>
      </c>
      <c r="W79" s="8">
        <f>SUMIF('G&amp;A Assumptions'!$B:$B,$E79,'G&amp;A Assumptions'!E:E)</f>
        <v>0</v>
      </c>
      <c r="X79" s="8">
        <f>SUMIF('G&amp;A Assumptions'!$B:$B,$E79,'G&amp;A Assumptions'!F:F)</f>
        <v>0</v>
      </c>
      <c r="Y79" s="8">
        <f>SUMIF('G&amp;A Assumptions'!$B:$B,$E79,'G&amp;A Assumptions'!G:G)</f>
        <v>0</v>
      </c>
      <c r="Z79" s="8">
        <f>SUMIF('G&amp;A Assumptions'!$B:$B,$E79,'G&amp;A Assumptions'!H:H)</f>
        <v>0</v>
      </c>
      <c r="AA79" s="8">
        <f>SUMIF('G&amp;A Assumptions'!$B:$B,$E79,'G&amp;A Assumptions'!I:I)</f>
        <v>0</v>
      </c>
      <c r="AB79" s="8">
        <f>SUMIF('G&amp;A Assumptions'!$B:$B,$E79,'G&amp;A Assumptions'!J:J)</f>
        <v>0</v>
      </c>
      <c r="AC79" s="8">
        <f>SUMIF('G&amp;A Assumptions'!$B:$B,$E79,'G&amp;A Assumptions'!K:K)</f>
        <v>0</v>
      </c>
      <c r="AD79" s="8">
        <f>SUMIF('G&amp;A Assumptions'!$B:$B,$E79,'G&amp;A Assumptions'!L:L)</f>
        <v>0</v>
      </c>
      <c r="AE79" s="8">
        <f>SUMIF('G&amp;A Assumptions'!$B:$B,$E79,'G&amp;A Assumptions'!M:M)</f>
        <v>0</v>
      </c>
      <c r="AF79" s="8">
        <f>SUMIF('G&amp;A Assumptions'!$B:$B,$E79,'G&amp;A Assumptions'!N:N)</f>
        <v>0</v>
      </c>
      <c r="AG79" s="8">
        <f>SUMIF('G&amp;A Assumptions'!$B:$B,$E79,'G&amp;A Assumptions'!O:O)</f>
        <v>0</v>
      </c>
      <c r="AH79" s="233">
        <f>SUMIF('G&amp;A Assumptions'!$B:$B,$E79,'G&amp;A Assumptions'!P:P)</f>
        <v>0</v>
      </c>
      <c r="AI79" s="33"/>
    </row>
    <row r="80" spans="5:36" x14ac:dyDescent="0.3">
      <c r="E80" s="196" t="s">
        <v>183</v>
      </c>
      <c r="F80" s="201"/>
      <c r="G80" s="201"/>
      <c r="H80" s="283"/>
      <c r="I80" s="284"/>
      <c r="J80" s="234"/>
      <c r="K80" s="8">
        <f>SUMIF('G&amp;A Assumptions'!$B:$B,$E80,'G&amp;A Assumptions'!E:E)</f>
        <v>0</v>
      </c>
      <c r="L80" s="8">
        <f>SUMIF('G&amp;A Assumptions'!$B:$B,$E80,'G&amp;A Assumptions'!F:F)</f>
        <v>0</v>
      </c>
      <c r="M80" s="8">
        <f>SUMIF('G&amp;A Assumptions'!$B:$B,$E80,'G&amp;A Assumptions'!G:G)</f>
        <v>0</v>
      </c>
      <c r="N80" s="8">
        <f>SUMIF('G&amp;A Assumptions'!$B:$B,$E80,'G&amp;A Assumptions'!H:H)</f>
        <v>0</v>
      </c>
      <c r="O80" s="8">
        <f>SUMIF('G&amp;A Assumptions'!$B:$B,$E80,'G&amp;A Assumptions'!I:I)</f>
        <v>0</v>
      </c>
      <c r="P80" s="8">
        <f>SUMIF('G&amp;A Assumptions'!$B:$B,$E80,'G&amp;A Assumptions'!J:J)</f>
        <v>0</v>
      </c>
      <c r="Q80" s="8">
        <f>SUMIF('G&amp;A Assumptions'!$B:$B,$E80,'G&amp;A Assumptions'!K:K)</f>
        <v>0</v>
      </c>
      <c r="R80" s="8">
        <f>SUMIF('G&amp;A Assumptions'!$B:$B,$E80,'G&amp;A Assumptions'!L:L)</f>
        <v>0</v>
      </c>
      <c r="S80" s="8">
        <f>SUMIF('G&amp;A Assumptions'!$B:$B,$E80,'G&amp;A Assumptions'!M:M)</f>
        <v>0</v>
      </c>
      <c r="T80" s="8">
        <f>SUMIF('G&amp;A Assumptions'!$B:$B,$E80,'G&amp;A Assumptions'!N:N)</f>
        <v>0</v>
      </c>
      <c r="U80" s="8">
        <f>SUMIF('G&amp;A Assumptions'!$B:$B,$E80,'G&amp;A Assumptions'!O:O)</f>
        <v>0</v>
      </c>
      <c r="V80" s="233">
        <f>SUMIF('G&amp;A Assumptions'!$B:$B,$E80,'G&amp;A Assumptions'!P:P)</f>
        <v>0</v>
      </c>
      <c r="W80" s="8">
        <f>SUMIF('G&amp;A Assumptions'!$B:$B,$E80,'G&amp;A Assumptions'!E:E)</f>
        <v>0</v>
      </c>
      <c r="X80" s="8">
        <f>SUMIF('G&amp;A Assumptions'!$B:$B,$E80,'G&amp;A Assumptions'!F:F)</f>
        <v>0</v>
      </c>
      <c r="Y80" s="8">
        <f>SUMIF('G&amp;A Assumptions'!$B:$B,$E80,'G&amp;A Assumptions'!G:G)</f>
        <v>0</v>
      </c>
      <c r="Z80" s="8">
        <f>SUMIF('G&amp;A Assumptions'!$B:$B,$E80,'G&amp;A Assumptions'!H:H)</f>
        <v>0</v>
      </c>
      <c r="AA80" s="8">
        <f>SUMIF('G&amp;A Assumptions'!$B:$B,$E80,'G&amp;A Assumptions'!I:I)</f>
        <v>0</v>
      </c>
      <c r="AB80" s="8">
        <f>SUMIF('G&amp;A Assumptions'!$B:$B,$E80,'G&amp;A Assumptions'!J:J)</f>
        <v>0</v>
      </c>
      <c r="AC80" s="8">
        <f>SUMIF('G&amp;A Assumptions'!$B:$B,$E80,'G&amp;A Assumptions'!K:K)</f>
        <v>0</v>
      </c>
      <c r="AD80" s="8">
        <f>SUMIF('G&amp;A Assumptions'!$B:$B,$E80,'G&amp;A Assumptions'!L:L)</f>
        <v>0</v>
      </c>
      <c r="AE80" s="8">
        <f>SUMIF('G&amp;A Assumptions'!$B:$B,$E80,'G&amp;A Assumptions'!M:M)</f>
        <v>0</v>
      </c>
      <c r="AF80" s="8">
        <f>SUMIF('G&amp;A Assumptions'!$B:$B,$E80,'G&amp;A Assumptions'!N:N)</f>
        <v>0</v>
      </c>
      <c r="AG80" s="8">
        <f>SUMIF('G&amp;A Assumptions'!$B:$B,$E80,'G&amp;A Assumptions'!O:O)</f>
        <v>0</v>
      </c>
      <c r="AH80" s="202">
        <f>SUMIF('G&amp;A Assumptions'!$B:$B,$E80,'G&amp;A Assumptions'!P:P)</f>
        <v>0</v>
      </c>
      <c r="AI80" s="33"/>
    </row>
    <row r="81" spans="5:36" x14ac:dyDescent="0.3">
      <c r="E81" s="203" t="s">
        <v>185</v>
      </c>
      <c r="F81" s="204"/>
      <c r="G81" s="204"/>
      <c r="H81" s="205">
        <f>SUM(H71:H80)</f>
        <v>0</v>
      </c>
      <c r="I81" s="206">
        <f t="shared" ref="I81:AH81" si="18">SUM(I71:I80)</f>
        <v>0</v>
      </c>
      <c r="J81" s="207">
        <f t="shared" si="18"/>
        <v>0</v>
      </c>
      <c r="K81" s="285">
        <f t="shared" si="18"/>
        <v>0</v>
      </c>
      <c r="L81" s="285">
        <f t="shared" si="18"/>
        <v>0</v>
      </c>
      <c r="M81" s="285">
        <f t="shared" si="18"/>
        <v>0</v>
      </c>
      <c r="N81" s="285">
        <f t="shared" si="18"/>
        <v>0</v>
      </c>
      <c r="O81" s="285">
        <f t="shared" si="18"/>
        <v>0</v>
      </c>
      <c r="P81" s="285">
        <f t="shared" si="18"/>
        <v>0</v>
      </c>
      <c r="Q81" s="285">
        <f t="shared" si="18"/>
        <v>0</v>
      </c>
      <c r="R81" s="285">
        <f t="shared" si="18"/>
        <v>0</v>
      </c>
      <c r="S81" s="285">
        <f t="shared" si="18"/>
        <v>0</v>
      </c>
      <c r="T81" s="285">
        <f t="shared" si="18"/>
        <v>0</v>
      </c>
      <c r="U81" s="285">
        <f t="shared" si="18"/>
        <v>0</v>
      </c>
      <c r="V81" s="208">
        <f t="shared" si="18"/>
        <v>0</v>
      </c>
      <c r="W81" s="285">
        <f t="shared" si="18"/>
        <v>0</v>
      </c>
      <c r="X81" s="285">
        <f t="shared" si="18"/>
        <v>0</v>
      </c>
      <c r="Y81" s="285">
        <f t="shared" si="18"/>
        <v>0</v>
      </c>
      <c r="Z81" s="285">
        <f t="shared" si="18"/>
        <v>0</v>
      </c>
      <c r="AA81" s="285">
        <f t="shared" si="18"/>
        <v>0</v>
      </c>
      <c r="AB81" s="285">
        <f t="shared" si="18"/>
        <v>0</v>
      </c>
      <c r="AC81" s="285">
        <f t="shared" si="18"/>
        <v>0</v>
      </c>
      <c r="AD81" s="285">
        <f t="shared" si="18"/>
        <v>0</v>
      </c>
      <c r="AE81" s="285">
        <f t="shared" si="18"/>
        <v>0</v>
      </c>
      <c r="AF81" s="285">
        <f t="shared" si="18"/>
        <v>0</v>
      </c>
      <c r="AG81" s="285">
        <f t="shared" si="18"/>
        <v>0</v>
      </c>
      <c r="AH81" s="208">
        <f t="shared" si="18"/>
        <v>0</v>
      </c>
      <c r="AI81" s="33"/>
      <c r="AJ81" s="33"/>
    </row>
    <row r="82" spans="5:36" x14ac:dyDescent="0.3">
      <c r="E82" s="225"/>
      <c r="H82" s="268"/>
      <c r="J82" s="269"/>
      <c r="K82" s="8"/>
      <c r="L82" s="8"/>
      <c r="M82" s="8"/>
      <c r="N82" s="8"/>
      <c r="O82" s="8"/>
      <c r="P82" s="8"/>
      <c r="Q82" s="8"/>
      <c r="R82" s="8"/>
      <c r="S82" s="8"/>
      <c r="T82" s="8"/>
      <c r="U82" s="8"/>
      <c r="V82" s="241"/>
      <c r="W82" s="8"/>
      <c r="X82" s="8"/>
      <c r="Y82" s="8"/>
      <c r="Z82" s="8"/>
      <c r="AA82" s="8"/>
      <c r="AB82" s="8"/>
      <c r="AC82" s="8"/>
      <c r="AD82" s="8"/>
      <c r="AE82" s="8"/>
      <c r="AF82" s="8"/>
      <c r="AG82" s="8"/>
      <c r="AH82" s="241"/>
      <c r="AI82" s="33"/>
    </row>
    <row r="83" spans="5:36" x14ac:dyDescent="0.3">
      <c r="E83" s="213" t="s">
        <v>167</v>
      </c>
      <c r="F83" s="194"/>
      <c r="G83" s="194"/>
      <c r="H83" s="275"/>
      <c r="I83" s="276"/>
      <c r="J83" s="253"/>
      <c r="K83" s="254">
        <f>SUMIF('Marketing Stack - Lease-Up'!$B$6:$B$40,$E83,'Marketing Stack - Lease-Up'!E$6:E$40)</f>
        <v>2750</v>
      </c>
      <c r="L83" s="254">
        <f>SUMIF('Marketing Stack - Lease-Up'!$B$6:$B$40,$E83,'Marketing Stack - Lease-Up'!F$6:F$40)</f>
        <v>2750</v>
      </c>
      <c r="M83" s="254" t="e">
        <f>IF('Absorption Schedule'!#REF!&lt;90%,SUMIF('Marketing Stack - Lease-Up'!$B$6:$B$40,$E83,'Marketing Stack - Lease-Up'!G$6:G$40),SUMIF('Marketing Stack'!$B$6:$B$40,$E83,'Marketing Stack'!G$6:G$40))</f>
        <v>#REF!</v>
      </c>
      <c r="N83" s="254" t="e">
        <f>IF('Absorption Schedule'!#REF!&lt;90%,SUMIF('Marketing Stack - Lease-Up'!$B$6:$B$40,$E83,'Marketing Stack - Lease-Up'!H$6:H$40),SUMIF('Marketing Stack'!$B$6:$B$40,$E83,'Marketing Stack'!H$6:H$40))</f>
        <v>#REF!</v>
      </c>
      <c r="O83" s="254" t="e">
        <f>IF('Absorption Schedule'!#REF!&lt;90%,SUMIF('Marketing Stack - Lease-Up'!$B$6:$B$40,$E83,'Marketing Stack - Lease-Up'!I$6:I$40),SUMIF('Marketing Stack'!$B$6:$B$40,$E83,'Marketing Stack'!I$6:I$40))</f>
        <v>#REF!</v>
      </c>
      <c r="P83" s="254" t="e">
        <f>IF('Absorption Schedule'!#REF!&lt;90%,SUMIF('Marketing Stack - Lease-Up'!$B$6:$B$40,$E83,'Marketing Stack - Lease-Up'!J$6:J$40),SUMIF('Marketing Stack'!$B$6:$B$40,$E83,'Marketing Stack'!J$6:J$40))</f>
        <v>#REF!</v>
      </c>
      <c r="Q83" s="254" t="e">
        <f>IF('Absorption Schedule'!#REF!&lt;90%,SUMIF('Marketing Stack - Lease-Up'!$B$6:$B$40,$E83,'Marketing Stack - Lease-Up'!K$6:K$40),SUMIF('Marketing Stack'!$B$6:$B$40,$E83,'Marketing Stack'!K$6:K$40))</f>
        <v>#REF!</v>
      </c>
      <c r="R83" s="254" t="e">
        <f>IF('Absorption Schedule'!#REF!&lt;90%,SUMIF('Marketing Stack - Lease-Up'!$B$6:$B$40,$E83,'Marketing Stack - Lease-Up'!L$6:L$40),SUMIF('Marketing Stack'!$B$6:$B$40,$E83,'Marketing Stack'!L$6:L$40))</f>
        <v>#REF!</v>
      </c>
      <c r="S83" s="254" t="e">
        <f>IF('Absorption Schedule'!#REF!&lt;90%,SUMIF('Marketing Stack - Lease-Up'!$B$6:$B$40,$E83,'Marketing Stack - Lease-Up'!M$6:M$40),SUMIF('Marketing Stack'!$B$6:$B$40,$E83,'Marketing Stack'!M$6:M$40))</f>
        <v>#REF!</v>
      </c>
      <c r="T83" s="254" t="e">
        <f>IF('Absorption Schedule'!#REF!&lt;90%,SUMIF('Marketing Stack - Lease-Up'!$B$6:$B$40,$E83,'Marketing Stack - Lease-Up'!N$6:N$40),SUMIF('Marketing Stack'!$B$6:$B$40,$E83,'Marketing Stack'!N$6:N$40))</f>
        <v>#REF!</v>
      </c>
      <c r="U83" s="254" t="e">
        <f>IF('Absorption Schedule'!#REF!&lt;90%,SUMIF('Marketing Stack - Lease-Up'!$B$6:$B$40,$E83,'Marketing Stack - Lease-Up'!O$6:O$40),SUMIF('Marketing Stack'!$B$6:$B$40,$E83,'Marketing Stack'!O$6:O$40))</f>
        <v>#REF!</v>
      </c>
      <c r="V83" s="195" t="e">
        <f>IF('Absorption Schedule'!#REF!&lt;90%,SUMIF('Marketing Stack - Lease-Up'!$B$6:$B$40,$E83,'Marketing Stack - Lease-Up'!P$6:P$40),SUMIF('Marketing Stack'!$B$6:$B$40,$E83,'Marketing Stack'!P$6:P$40))</f>
        <v>#REF!</v>
      </c>
      <c r="W83" s="254" t="e">
        <f>IF('Absorption Schedule'!#REF!&lt;90%,SUMIF('Marketing Stack - Lease-Up'!$B$6:$B$40,$E83,'Marketing Stack - Lease-Up'!E$6:E$40),SUMIF('Marketing Stack'!$B$6:$B$40,$E83,'Marketing Stack'!E$6:E$40))</f>
        <v>#REF!</v>
      </c>
      <c r="X83" s="254" t="e">
        <f>IF('Absorption Schedule'!#REF!&lt;90%,SUMIF('Marketing Stack - Lease-Up'!$B$6:$B$40,$E83,'Marketing Stack - Lease-Up'!F$6:F$40),SUMIF('Marketing Stack'!$B$6:$B$40,$E83,'Marketing Stack'!F$6:F$40))</f>
        <v>#REF!</v>
      </c>
      <c r="Y83" s="254" t="e">
        <f>IF('Absorption Schedule'!#REF!&lt;90%,SUMIF('Marketing Stack - Lease-Up'!$B$6:$B$40,$E83,'Marketing Stack - Lease-Up'!G$6:G$40),SUMIF('Marketing Stack'!$B$6:$B$40,$E83,'Marketing Stack'!G$6:G$40))</f>
        <v>#REF!</v>
      </c>
      <c r="Z83" s="254" t="e">
        <f>IF('Absorption Schedule'!#REF!&lt;90%,SUMIF('Marketing Stack - Lease-Up'!$B$6:$B$40,$E83,'Marketing Stack - Lease-Up'!H$6:H$40),SUMIF('Marketing Stack'!$B$6:$B$40,$E83,'Marketing Stack'!H$6:H$40))</f>
        <v>#REF!</v>
      </c>
      <c r="AA83" s="254" t="e">
        <f>IF('Absorption Schedule'!#REF!&lt;90%,SUMIF('Marketing Stack - Lease-Up'!$B$6:$B$40,$E83,'Marketing Stack - Lease-Up'!I$6:I$40),SUMIF('Marketing Stack'!$B$6:$B$40,$E83,'Marketing Stack'!I$6:I$40))</f>
        <v>#REF!</v>
      </c>
      <c r="AB83" s="254" t="e">
        <f>IF('Absorption Schedule'!#REF!&lt;90%,SUMIF('Marketing Stack - Lease-Up'!$B$6:$B$40,$E83,'Marketing Stack - Lease-Up'!J$6:J$40),SUMIF('Marketing Stack'!$B$6:$B$40,$E83,'Marketing Stack'!J$6:J$40))</f>
        <v>#REF!</v>
      </c>
      <c r="AC83" s="254" t="e">
        <f>IF('Absorption Schedule'!#REF!&lt;90%,SUMIF('Marketing Stack - Lease-Up'!$B$6:$B$40,$E83,'Marketing Stack - Lease-Up'!K$6:K$40),SUMIF('Marketing Stack'!$B$6:$B$40,$E83,'Marketing Stack'!K$6:K$40))</f>
        <v>#REF!</v>
      </c>
      <c r="AD83" s="254" t="e">
        <f>IF('Absorption Schedule'!#REF!&lt;90%,SUMIF('Marketing Stack - Lease-Up'!$B$6:$B$40,$E83,'Marketing Stack - Lease-Up'!L$6:L$40),SUMIF('Marketing Stack'!$B$6:$B$40,$E83,'Marketing Stack'!L$6:L$40))</f>
        <v>#REF!</v>
      </c>
      <c r="AE83" s="254" t="e">
        <f>IF('Absorption Schedule'!#REF!&lt;90%,SUMIF('Marketing Stack - Lease-Up'!$B$6:$B$40,$E83,'Marketing Stack - Lease-Up'!M$6:M$40),SUMIF('Marketing Stack'!$B$6:$B$40,$E83,'Marketing Stack'!M$6:M$40))</f>
        <v>#REF!</v>
      </c>
      <c r="AF83" s="254" t="e">
        <f>IF('Absorption Schedule'!#REF!&lt;90%,SUMIF('Marketing Stack - Lease-Up'!$B$6:$B$40,$E83,'Marketing Stack - Lease-Up'!N$6:N$40),SUMIF('Marketing Stack'!$B$6:$B$40,$E83,'Marketing Stack'!N$6:N$40))</f>
        <v>#REF!</v>
      </c>
      <c r="AG83" s="254" t="e">
        <f>IF('Absorption Schedule'!#REF!&lt;90%,SUMIF('Marketing Stack - Lease-Up'!$B$6:$B$40,$E83,'Marketing Stack - Lease-Up'!O$6:O$40),SUMIF('Marketing Stack'!$B$6:$B$40,$E83,'Marketing Stack'!O$6:O$40))</f>
        <v>#REF!</v>
      </c>
      <c r="AH83" s="195" t="e">
        <f>IF('Absorption Schedule'!#REF!&lt;90%,SUMIF('Marketing Stack - Lease-Up'!$B$6:$B$40,$E83,'Marketing Stack - Lease-Up'!P$6:P$40),SUMIF('Marketing Stack'!$B$6:$B$40,$E83,'Marketing Stack'!P$6:P$40))</f>
        <v>#REF!</v>
      </c>
      <c r="AI83" s="33"/>
    </row>
    <row r="84" spans="5:36" x14ac:dyDescent="0.3">
      <c r="E84" s="225"/>
      <c r="F84" s="33"/>
      <c r="G84" s="33"/>
      <c r="H84" s="277"/>
      <c r="I84" s="278"/>
      <c r="J84" s="229"/>
      <c r="K84" s="8">
        <f>SUMIF('Marketing Stack - Lease-Up'!$B$6:$B$40,$E84,'Marketing Stack - Lease-Up'!E$6:E$40)</f>
        <v>0</v>
      </c>
      <c r="L84" s="8">
        <f>SUMIF('Marketing Stack - Lease-Up'!$B$6:$B$40,$E84,'Marketing Stack - Lease-Up'!F$6:F$40)</f>
        <v>0</v>
      </c>
      <c r="M84" s="8" t="e">
        <f>IF('Absorption Schedule'!#REF!&lt;90%,SUMIF('Marketing Stack - Lease-Up'!$B$6:$B$40,$E84,'Marketing Stack - Lease-Up'!G$6:G$40),SUMIF('Marketing Stack'!$B$6:$B$40,$E84,'Marketing Stack'!G$6:G$40))</f>
        <v>#REF!</v>
      </c>
      <c r="N84" s="8" t="e">
        <f>IF('Absorption Schedule'!#REF!&lt;90%,SUMIF('Marketing Stack - Lease-Up'!$B$6:$B$40,$E84,'Marketing Stack - Lease-Up'!H$6:H$40),SUMIF('Marketing Stack'!$B$6:$B$40,$E84,'Marketing Stack'!H$6:H$40))</f>
        <v>#REF!</v>
      </c>
      <c r="O84" s="8" t="e">
        <f>IF('Absorption Schedule'!#REF!&lt;90%,SUMIF('Marketing Stack - Lease-Up'!$B$6:$B$40,$E84,'Marketing Stack - Lease-Up'!I$6:I$40),SUMIF('Marketing Stack'!$B$6:$B$40,$E84,'Marketing Stack'!I$6:I$40))</f>
        <v>#REF!</v>
      </c>
      <c r="P84" s="8" t="e">
        <f>IF('Absorption Schedule'!#REF!&lt;90%,SUMIF('Marketing Stack - Lease-Up'!$B$6:$B$40,$E84,'Marketing Stack - Lease-Up'!J$6:J$40),SUMIF('Marketing Stack'!$B$6:$B$40,$E84,'Marketing Stack'!J$6:J$40))</f>
        <v>#REF!</v>
      </c>
      <c r="Q84" s="8" t="e">
        <f>IF('Absorption Schedule'!#REF!&lt;90%,SUMIF('Marketing Stack - Lease-Up'!$B$6:$B$40,$E84,'Marketing Stack - Lease-Up'!K$6:K$40),SUMIF('Marketing Stack'!$B$6:$B$40,$E84,'Marketing Stack'!K$6:K$40))</f>
        <v>#REF!</v>
      </c>
      <c r="R84" s="8" t="e">
        <f>IF('Absorption Schedule'!#REF!&lt;90%,SUMIF('Marketing Stack - Lease-Up'!$B$6:$B$40,$E84,'Marketing Stack - Lease-Up'!L$6:L$40),SUMIF('Marketing Stack'!$B$6:$B$40,$E84,'Marketing Stack'!L$6:L$40))</f>
        <v>#REF!</v>
      </c>
      <c r="S84" s="8" t="e">
        <f>IF('Absorption Schedule'!#REF!&lt;90%,SUMIF('Marketing Stack - Lease-Up'!$B$6:$B$40,$E84,'Marketing Stack - Lease-Up'!M$6:M$40),SUMIF('Marketing Stack'!$B$6:$B$40,$E84,'Marketing Stack'!M$6:M$40))</f>
        <v>#REF!</v>
      </c>
      <c r="T84" s="8" t="e">
        <f>IF('Absorption Schedule'!#REF!&lt;90%,SUMIF('Marketing Stack - Lease-Up'!$B$6:$B$40,$E84,'Marketing Stack - Lease-Up'!N$6:N$40),SUMIF('Marketing Stack'!$B$6:$B$40,$E84,'Marketing Stack'!N$6:N$40))</f>
        <v>#REF!</v>
      </c>
      <c r="U84" s="8" t="e">
        <f>IF('Absorption Schedule'!#REF!&lt;90%,SUMIF('Marketing Stack - Lease-Up'!$B$6:$B$40,$E84,'Marketing Stack - Lease-Up'!O$6:O$40),SUMIF('Marketing Stack'!$B$6:$B$40,$E84,'Marketing Stack'!O$6:O$40))</f>
        <v>#REF!</v>
      </c>
      <c r="V84" s="233" t="e">
        <f>IF('Absorption Schedule'!#REF!&lt;90%,SUMIF('Marketing Stack - Lease-Up'!$B$6:$B$40,$E84,'Marketing Stack - Lease-Up'!P$6:P$40),SUMIF('Marketing Stack'!$B$6:$B$40,$E84,'Marketing Stack'!P$6:P$40))</f>
        <v>#REF!</v>
      </c>
      <c r="W84" s="8" t="e">
        <f>IF('Absorption Schedule'!#REF!&lt;90%,SUMIF('Marketing Stack - Lease-Up'!$B$6:$B$40,$E84,'Marketing Stack - Lease-Up'!E$6:E$40),SUMIF('Marketing Stack'!$B$6:$B$40,$E84,'Marketing Stack'!E$6:E$40))</f>
        <v>#REF!</v>
      </c>
      <c r="X84" s="8" t="e">
        <f>IF('Absorption Schedule'!#REF!&lt;90%,SUMIF('Marketing Stack - Lease-Up'!$B$6:$B$40,$E84,'Marketing Stack - Lease-Up'!F$6:F$40),SUMIF('Marketing Stack'!$B$6:$B$40,$E84,'Marketing Stack'!F$6:F$40))</f>
        <v>#REF!</v>
      </c>
      <c r="Y84" s="8" t="e">
        <f>IF('Absorption Schedule'!#REF!&lt;90%,SUMIF('Marketing Stack - Lease-Up'!$B$6:$B$40,$E84,'Marketing Stack - Lease-Up'!G$6:G$40),SUMIF('Marketing Stack'!$B$6:$B$40,$E84,'Marketing Stack'!G$6:G$40))</f>
        <v>#REF!</v>
      </c>
      <c r="Z84" s="8" t="e">
        <f>IF('Absorption Schedule'!#REF!&lt;90%,SUMIF('Marketing Stack - Lease-Up'!$B$6:$B$40,$E84,'Marketing Stack - Lease-Up'!H$6:H$40),SUMIF('Marketing Stack'!$B$6:$B$40,$E84,'Marketing Stack'!H$6:H$40))</f>
        <v>#REF!</v>
      </c>
      <c r="AA84" s="8" t="e">
        <f>IF('Absorption Schedule'!#REF!&lt;90%,SUMIF('Marketing Stack - Lease-Up'!$B$6:$B$40,$E84,'Marketing Stack - Lease-Up'!I$6:I$40),SUMIF('Marketing Stack'!$B$6:$B$40,$E84,'Marketing Stack'!I$6:I$40))</f>
        <v>#REF!</v>
      </c>
      <c r="AB84" s="8" t="e">
        <f>IF('Absorption Schedule'!#REF!&lt;90%,SUMIF('Marketing Stack - Lease-Up'!$B$6:$B$40,$E84,'Marketing Stack - Lease-Up'!J$6:J$40),SUMIF('Marketing Stack'!$B$6:$B$40,$E84,'Marketing Stack'!J$6:J$40))</f>
        <v>#REF!</v>
      </c>
      <c r="AC84" s="8" t="e">
        <f>IF('Absorption Schedule'!#REF!&lt;90%,SUMIF('Marketing Stack - Lease-Up'!$B$6:$B$40,$E84,'Marketing Stack - Lease-Up'!K$6:K$40),SUMIF('Marketing Stack'!$B$6:$B$40,$E84,'Marketing Stack'!K$6:K$40))</f>
        <v>#REF!</v>
      </c>
      <c r="AD84" s="8" t="e">
        <f>IF('Absorption Schedule'!#REF!&lt;90%,SUMIF('Marketing Stack - Lease-Up'!$B$6:$B$40,$E84,'Marketing Stack - Lease-Up'!L$6:L$40),SUMIF('Marketing Stack'!$B$6:$B$40,$E84,'Marketing Stack'!L$6:L$40))</f>
        <v>#REF!</v>
      </c>
      <c r="AE84" s="8" t="e">
        <f>IF('Absorption Schedule'!#REF!&lt;90%,SUMIF('Marketing Stack - Lease-Up'!$B$6:$B$40,$E84,'Marketing Stack - Lease-Up'!M$6:M$40),SUMIF('Marketing Stack'!$B$6:$B$40,$E84,'Marketing Stack'!M$6:M$40))</f>
        <v>#REF!</v>
      </c>
      <c r="AF84" s="8" t="e">
        <f>IF('Absorption Schedule'!#REF!&lt;90%,SUMIF('Marketing Stack - Lease-Up'!$B$6:$B$40,$E84,'Marketing Stack - Lease-Up'!N$6:N$40),SUMIF('Marketing Stack'!$B$6:$B$40,$E84,'Marketing Stack'!N$6:N$40))</f>
        <v>#REF!</v>
      </c>
      <c r="AG84" s="8" t="e">
        <f>IF('Absorption Schedule'!#REF!&lt;90%,SUMIF('Marketing Stack - Lease-Up'!$B$6:$B$40,$E84,'Marketing Stack - Lease-Up'!O$6:O$40),SUMIF('Marketing Stack'!$B$6:$B$40,$E84,'Marketing Stack'!O$6:O$40))</f>
        <v>#REF!</v>
      </c>
      <c r="AH84" s="233" t="e">
        <f>IF('Absorption Schedule'!#REF!&lt;90%,SUMIF('Marketing Stack - Lease-Up'!$B$6:$B$40,$E84,'Marketing Stack - Lease-Up'!P$6:P$40),SUMIF('Marketing Stack'!$B$6:$B$40,$E84,'Marketing Stack'!P$6:P$40))</f>
        <v>#REF!</v>
      </c>
      <c r="AI84" s="33"/>
    </row>
    <row r="85" spans="5:36" x14ac:dyDescent="0.3">
      <c r="E85" s="225" t="s">
        <v>166</v>
      </c>
      <c r="F85" s="33"/>
      <c r="G85" s="33"/>
      <c r="H85" s="277"/>
      <c r="I85" s="278"/>
      <c r="J85" s="229"/>
      <c r="K85" s="8">
        <f>SUMIF('Marketing Stack - Lease-Up'!$B$6:$B$40,$E85,'Marketing Stack - Lease-Up'!E$6:E$40)</f>
        <v>6214</v>
      </c>
      <c r="L85" s="8">
        <f>SUMIF('Marketing Stack - Lease-Up'!$B$6:$B$40,$E85,'Marketing Stack - Lease-Up'!F$6:F$40)</f>
        <v>4839</v>
      </c>
      <c r="M85" s="8" t="e">
        <f>IF('Absorption Schedule'!#REF!&lt;90%,SUMIF('Marketing Stack - Lease-Up'!$B$6:$B$40,$E85,'Marketing Stack - Lease-Up'!G$6:G$40),SUMIF('Marketing Stack'!$B$6:$B$40,$E85,'Marketing Stack'!G$6:G$40))</f>
        <v>#REF!</v>
      </c>
      <c r="N85" s="8" t="e">
        <f>IF('Absorption Schedule'!#REF!&lt;90%,SUMIF('Marketing Stack - Lease-Up'!$B$6:$B$40,$E85,'Marketing Stack - Lease-Up'!H$6:H$40),SUMIF('Marketing Stack'!$B$6:$B$40,$E85,'Marketing Stack'!H$6:H$40))</f>
        <v>#REF!</v>
      </c>
      <c r="O85" s="8" t="e">
        <f>IF('Absorption Schedule'!#REF!&lt;90%,SUMIF('Marketing Stack - Lease-Up'!$B$6:$B$40,$E85,'Marketing Stack - Lease-Up'!I$6:I$40),SUMIF('Marketing Stack'!$B$6:$B$40,$E85,'Marketing Stack'!I$6:I$40))</f>
        <v>#REF!</v>
      </c>
      <c r="P85" s="8" t="e">
        <f>IF('Absorption Schedule'!#REF!&lt;90%,SUMIF('Marketing Stack - Lease-Up'!$B$6:$B$40,$E85,'Marketing Stack - Lease-Up'!J$6:J$40),SUMIF('Marketing Stack'!$B$6:$B$40,$E85,'Marketing Stack'!J$6:J$40))</f>
        <v>#REF!</v>
      </c>
      <c r="Q85" s="8" t="e">
        <f>IF('Absorption Schedule'!#REF!&lt;90%,SUMIF('Marketing Stack - Lease-Up'!$B$6:$B$40,$E85,'Marketing Stack - Lease-Up'!K$6:K$40),SUMIF('Marketing Stack'!$B$6:$B$40,$E85,'Marketing Stack'!K$6:K$40))</f>
        <v>#REF!</v>
      </c>
      <c r="R85" s="8" t="e">
        <f>IF('Absorption Schedule'!#REF!&lt;90%,SUMIF('Marketing Stack - Lease-Up'!$B$6:$B$40,$E85,'Marketing Stack - Lease-Up'!L$6:L$40),SUMIF('Marketing Stack'!$B$6:$B$40,$E85,'Marketing Stack'!L$6:L$40))</f>
        <v>#REF!</v>
      </c>
      <c r="S85" s="8" t="e">
        <f>IF('Absorption Schedule'!#REF!&lt;90%,SUMIF('Marketing Stack - Lease-Up'!$B$6:$B$40,$E85,'Marketing Stack - Lease-Up'!M$6:M$40),SUMIF('Marketing Stack'!$B$6:$B$40,$E85,'Marketing Stack'!M$6:M$40))</f>
        <v>#REF!</v>
      </c>
      <c r="T85" s="8" t="e">
        <f>IF('Absorption Schedule'!#REF!&lt;90%,SUMIF('Marketing Stack - Lease-Up'!$B$6:$B$40,$E85,'Marketing Stack - Lease-Up'!N$6:N$40),SUMIF('Marketing Stack'!$B$6:$B$40,$E85,'Marketing Stack'!N$6:N$40))</f>
        <v>#REF!</v>
      </c>
      <c r="U85" s="8" t="e">
        <f>IF('Absorption Schedule'!#REF!&lt;90%,SUMIF('Marketing Stack - Lease-Up'!$B$6:$B$40,$E85,'Marketing Stack - Lease-Up'!O$6:O$40),SUMIF('Marketing Stack'!$B$6:$B$40,$E85,'Marketing Stack'!O$6:O$40))</f>
        <v>#REF!</v>
      </c>
      <c r="V85" s="233" t="e">
        <f>IF('Absorption Schedule'!#REF!&lt;90%,SUMIF('Marketing Stack - Lease-Up'!$B$6:$B$40,$E85,'Marketing Stack - Lease-Up'!P$6:P$40),SUMIF('Marketing Stack'!$B$6:$B$40,$E85,'Marketing Stack'!P$6:P$40))</f>
        <v>#REF!</v>
      </c>
      <c r="W85" s="8" t="e">
        <f>IF('Absorption Schedule'!#REF!&lt;90%,SUMIF('Marketing Stack - Lease-Up'!$B$6:$B$40,$E85,'Marketing Stack - Lease-Up'!E$6:E$40),SUMIF('Marketing Stack'!$B$6:$B$40,$E85,'Marketing Stack'!E$6:E$40))</f>
        <v>#REF!</v>
      </c>
      <c r="X85" s="8" t="e">
        <f>IF('Absorption Schedule'!#REF!&lt;90%,SUMIF('Marketing Stack - Lease-Up'!$B$6:$B$40,$E85,'Marketing Stack - Lease-Up'!F$6:F$40),SUMIF('Marketing Stack'!$B$6:$B$40,$E85,'Marketing Stack'!F$6:F$40))</f>
        <v>#REF!</v>
      </c>
      <c r="Y85" s="8" t="e">
        <f>IF('Absorption Schedule'!#REF!&lt;90%,SUMIF('Marketing Stack - Lease-Up'!$B$6:$B$40,$E85,'Marketing Stack - Lease-Up'!G$6:G$40),SUMIF('Marketing Stack'!$B$6:$B$40,$E85,'Marketing Stack'!G$6:G$40))</f>
        <v>#REF!</v>
      </c>
      <c r="Z85" s="8" t="e">
        <f>IF('Absorption Schedule'!#REF!&lt;90%,SUMIF('Marketing Stack - Lease-Up'!$B$6:$B$40,$E85,'Marketing Stack - Lease-Up'!H$6:H$40),SUMIF('Marketing Stack'!$B$6:$B$40,$E85,'Marketing Stack'!H$6:H$40))</f>
        <v>#REF!</v>
      </c>
      <c r="AA85" s="8" t="e">
        <f>IF('Absorption Schedule'!#REF!&lt;90%,SUMIF('Marketing Stack - Lease-Up'!$B$6:$B$40,$E85,'Marketing Stack - Lease-Up'!I$6:I$40),SUMIF('Marketing Stack'!$B$6:$B$40,$E85,'Marketing Stack'!I$6:I$40))</f>
        <v>#REF!</v>
      </c>
      <c r="AB85" s="8" t="e">
        <f>IF('Absorption Schedule'!#REF!&lt;90%,SUMIF('Marketing Stack - Lease-Up'!$B$6:$B$40,$E85,'Marketing Stack - Lease-Up'!J$6:J$40),SUMIF('Marketing Stack'!$B$6:$B$40,$E85,'Marketing Stack'!J$6:J$40))</f>
        <v>#REF!</v>
      </c>
      <c r="AC85" s="8" t="e">
        <f>IF('Absorption Schedule'!#REF!&lt;90%,SUMIF('Marketing Stack - Lease-Up'!$B$6:$B$40,$E85,'Marketing Stack - Lease-Up'!K$6:K$40),SUMIF('Marketing Stack'!$B$6:$B$40,$E85,'Marketing Stack'!K$6:K$40))</f>
        <v>#REF!</v>
      </c>
      <c r="AD85" s="8" t="e">
        <f>IF('Absorption Schedule'!#REF!&lt;90%,SUMIF('Marketing Stack - Lease-Up'!$B$6:$B$40,$E85,'Marketing Stack - Lease-Up'!L$6:L$40),SUMIF('Marketing Stack'!$B$6:$B$40,$E85,'Marketing Stack'!L$6:L$40))</f>
        <v>#REF!</v>
      </c>
      <c r="AE85" s="8" t="e">
        <f>IF('Absorption Schedule'!#REF!&lt;90%,SUMIF('Marketing Stack - Lease-Up'!$B$6:$B$40,$E85,'Marketing Stack - Lease-Up'!M$6:M$40),SUMIF('Marketing Stack'!$B$6:$B$40,$E85,'Marketing Stack'!M$6:M$40))</f>
        <v>#REF!</v>
      </c>
      <c r="AF85" s="8" t="e">
        <f>IF('Absorption Schedule'!#REF!&lt;90%,SUMIF('Marketing Stack - Lease-Up'!$B$6:$B$40,$E85,'Marketing Stack - Lease-Up'!N$6:N$40),SUMIF('Marketing Stack'!$B$6:$B$40,$E85,'Marketing Stack'!N$6:N$40))</f>
        <v>#REF!</v>
      </c>
      <c r="AG85" s="8" t="e">
        <f>IF('Absorption Schedule'!#REF!&lt;90%,SUMIF('Marketing Stack - Lease-Up'!$B$6:$B$40,$E85,'Marketing Stack - Lease-Up'!O$6:O$40),SUMIF('Marketing Stack'!$B$6:$B$40,$E85,'Marketing Stack'!O$6:O$40))</f>
        <v>#REF!</v>
      </c>
      <c r="AH85" s="233" t="e">
        <f>IF('Absorption Schedule'!#REF!&lt;90%,SUMIF('Marketing Stack - Lease-Up'!$B$6:$B$40,$E85,'Marketing Stack - Lease-Up'!P$6:P$40),SUMIF('Marketing Stack'!$B$6:$B$40,$E85,'Marketing Stack'!P$6:P$40))</f>
        <v>#REF!</v>
      </c>
      <c r="AI85" s="33"/>
    </row>
    <row r="86" spans="5:36" x14ac:dyDescent="0.3">
      <c r="E86" s="225" t="s">
        <v>169</v>
      </c>
      <c r="F86" s="33"/>
      <c r="G86" s="33"/>
      <c r="H86" s="277"/>
      <c r="I86" s="278"/>
      <c r="J86" s="229"/>
      <c r="K86" s="8">
        <f>SUMIF('Marketing Stack - Lease-Up'!$B$6:$B$40,$E86,'Marketing Stack - Lease-Up'!E$6:E$40)</f>
        <v>1761</v>
      </c>
      <c r="L86" s="8">
        <f>SUMIF('Marketing Stack - Lease-Up'!$B$6:$B$40,$E86,'Marketing Stack - Lease-Up'!F$6:F$40)</f>
        <v>1761</v>
      </c>
      <c r="M86" s="8" t="e">
        <f>IF('Absorption Schedule'!#REF!&lt;90%,SUMIF('Marketing Stack - Lease-Up'!$B$6:$B$40,$E86,'Marketing Stack - Lease-Up'!G$6:G$40),SUMIF('Marketing Stack'!$B$6:$B$40,$E86,'Marketing Stack'!G$6:G$40))</f>
        <v>#REF!</v>
      </c>
      <c r="N86" s="8" t="e">
        <f>IF('Absorption Schedule'!#REF!&lt;90%,SUMIF('Marketing Stack - Lease-Up'!$B$6:$B$40,$E86,'Marketing Stack - Lease-Up'!H$6:H$40),SUMIF('Marketing Stack'!$B$6:$B$40,$E86,'Marketing Stack'!H$6:H$40))</f>
        <v>#REF!</v>
      </c>
      <c r="O86" s="8" t="e">
        <f>IF('Absorption Schedule'!#REF!&lt;90%,SUMIF('Marketing Stack - Lease-Up'!$B$6:$B$40,$E86,'Marketing Stack - Lease-Up'!I$6:I$40),SUMIF('Marketing Stack'!$B$6:$B$40,$E86,'Marketing Stack'!I$6:I$40))</f>
        <v>#REF!</v>
      </c>
      <c r="P86" s="8" t="e">
        <f>IF('Absorption Schedule'!#REF!&lt;90%,SUMIF('Marketing Stack - Lease-Up'!$B$6:$B$40,$E86,'Marketing Stack - Lease-Up'!J$6:J$40),SUMIF('Marketing Stack'!$B$6:$B$40,$E86,'Marketing Stack'!J$6:J$40))</f>
        <v>#REF!</v>
      </c>
      <c r="Q86" s="8" t="e">
        <f>IF('Absorption Schedule'!#REF!&lt;90%,SUMIF('Marketing Stack - Lease-Up'!$B$6:$B$40,$E86,'Marketing Stack - Lease-Up'!K$6:K$40),SUMIF('Marketing Stack'!$B$6:$B$40,$E86,'Marketing Stack'!K$6:K$40))</f>
        <v>#REF!</v>
      </c>
      <c r="R86" s="8" t="e">
        <f>IF('Absorption Schedule'!#REF!&lt;90%,SUMIF('Marketing Stack - Lease-Up'!$B$6:$B$40,$E86,'Marketing Stack - Lease-Up'!L$6:L$40),SUMIF('Marketing Stack'!$B$6:$B$40,$E86,'Marketing Stack'!L$6:L$40))</f>
        <v>#REF!</v>
      </c>
      <c r="S86" s="8" t="e">
        <f>IF('Absorption Schedule'!#REF!&lt;90%,SUMIF('Marketing Stack - Lease-Up'!$B$6:$B$40,$E86,'Marketing Stack - Lease-Up'!M$6:M$40),SUMIF('Marketing Stack'!$B$6:$B$40,$E86,'Marketing Stack'!M$6:M$40))</f>
        <v>#REF!</v>
      </c>
      <c r="T86" s="8" t="e">
        <f>IF('Absorption Schedule'!#REF!&lt;90%,SUMIF('Marketing Stack - Lease-Up'!$B$6:$B$40,$E86,'Marketing Stack - Lease-Up'!N$6:N$40),SUMIF('Marketing Stack'!$B$6:$B$40,$E86,'Marketing Stack'!N$6:N$40))</f>
        <v>#REF!</v>
      </c>
      <c r="U86" s="8" t="e">
        <f>IF('Absorption Schedule'!#REF!&lt;90%,SUMIF('Marketing Stack - Lease-Up'!$B$6:$B$40,$E86,'Marketing Stack - Lease-Up'!O$6:O$40),SUMIF('Marketing Stack'!$B$6:$B$40,$E86,'Marketing Stack'!O$6:O$40))</f>
        <v>#REF!</v>
      </c>
      <c r="V86" s="233" t="e">
        <f>IF('Absorption Schedule'!#REF!&lt;90%,SUMIF('Marketing Stack - Lease-Up'!$B$6:$B$40,$E86,'Marketing Stack - Lease-Up'!P$6:P$40),SUMIF('Marketing Stack'!$B$6:$B$40,$E86,'Marketing Stack'!P$6:P$40))</f>
        <v>#REF!</v>
      </c>
      <c r="W86" s="8" t="e">
        <f>IF('Absorption Schedule'!#REF!&lt;90%,SUMIF('Marketing Stack - Lease-Up'!$B$6:$B$40,$E86,'Marketing Stack - Lease-Up'!E$6:E$40),SUMIF('Marketing Stack'!$B$6:$B$40,$E86,'Marketing Stack'!E$6:E$40))</f>
        <v>#REF!</v>
      </c>
      <c r="X86" s="8" t="e">
        <f>IF('Absorption Schedule'!#REF!&lt;90%,SUMIF('Marketing Stack - Lease-Up'!$B$6:$B$40,$E86,'Marketing Stack - Lease-Up'!F$6:F$40),SUMIF('Marketing Stack'!$B$6:$B$40,$E86,'Marketing Stack'!F$6:F$40))</f>
        <v>#REF!</v>
      </c>
      <c r="Y86" s="8" t="e">
        <f>IF('Absorption Schedule'!#REF!&lt;90%,SUMIF('Marketing Stack - Lease-Up'!$B$6:$B$40,$E86,'Marketing Stack - Lease-Up'!G$6:G$40),SUMIF('Marketing Stack'!$B$6:$B$40,$E86,'Marketing Stack'!G$6:G$40))</f>
        <v>#REF!</v>
      </c>
      <c r="Z86" s="8" t="e">
        <f>IF('Absorption Schedule'!#REF!&lt;90%,SUMIF('Marketing Stack - Lease-Up'!$B$6:$B$40,$E86,'Marketing Stack - Lease-Up'!H$6:H$40),SUMIF('Marketing Stack'!$B$6:$B$40,$E86,'Marketing Stack'!H$6:H$40))</f>
        <v>#REF!</v>
      </c>
      <c r="AA86" s="8" t="e">
        <f>IF('Absorption Schedule'!#REF!&lt;90%,SUMIF('Marketing Stack - Lease-Up'!$B$6:$B$40,$E86,'Marketing Stack - Lease-Up'!I$6:I$40),SUMIF('Marketing Stack'!$B$6:$B$40,$E86,'Marketing Stack'!I$6:I$40))</f>
        <v>#REF!</v>
      </c>
      <c r="AB86" s="8" t="e">
        <f>IF('Absorption Schedule'!#REF!&lt;90%,SUMIF('Marketing Stack - Lease-Up'!$B$6:$B$40,$E86,'Marketing Stack - Lease-Up'!J$6:J$40),SUMIF('Marketing Stack'!$B$6:$B$40,$E86,'Marketing Stack'!J$6:J$40))</f>
        <v>#REF!</v>
      </c>
      <c r="AC86" s="8" t="e">
        <f>IF('Absorption Schedule'!#REF!&lt;90%,SUMIF('Marketing Stack - Lease-Up'!$B$6:$B$40,$E86,'Marketing Stack - Lease-Up'!K$6:K$40),SUMIF('Marketing Stack'!$B$6:$B$40,$E86,'Marketing Stack'!K$6:K$40))</f>
        <v>#REF!</v>
      </c>
      <c r="AD86" s="8" t="e">
        <f>IF('Absorption Schedule'!#REF!&lt;90%,SUMIF('Marketing Stack - Lease-Up'!$B$6:$B$40,$E86,'Marketing Stack - Lease-Up'!L$6:L$40),SUMIF('Marketing Stack'!$B$6:$B$40,$E86,'Marketing Stack'!L$6:L$40))</f>
        <v>#REF!</v>
      </c>
      <c r="AE86" s="8" t="e">
        <f>IF('Absorption Schedule'!#REF!&lt;90%,SUMIF('Marketing Stack - Lease-Up'!$B$6:$B$40,$E86,'Marketing Stack - Lease-Up'!M$6:M$40),SUMIF('Marketing Stack'!$B$6:$B$40,$E86,'Marketing Stack'!M$6:M$40))</f>
        <v>#REF!</v>
      </c>
      <c r="AF86" s="8" t="e">
        <f>IF('Absorption Schedule'!#REF!&lt;90%,SUMIF('Marketing Stack - Lease-Up'!$B$6:$B$40,$E86,'Marketing Stack - Lease-Up'!N$6:N$40),SUMIF('Marketing Stack'!$B$6:$B$40,$E86,'Marketing Stack'!N$6:N$40))</f>
        <v>#REF!</v>
      </c>
      <c r="AG86" s="8" t="e">
        <f>IF('Absorption Schedule'!#REF!&lt;90%,SUMIF('Marketing Stack - Lease-Up'!$B$6:$B$40,$E86,'Marketing Stack - Lease-Up'!O$6:O$40),SUMIF('Marketing Stack'!$B$6:$B$40,$E86,'Marketing Stack'!O$6:O$40))</f>
        <v>#REF!</v>
      </c>
      <c r="AH86" s="233" t="e">
        <f>IF('Absorption Schedule'!#REF!&lt;90%,SUMIF('Marketing Stack - Lease-Up'!$B$6:$B$40,$E86,'Marketing Stack - Lease-Up'!P$6:P$40),SUMIF('Marketing Stack'!$B$6:$B$40,$E86,'Marketing Stack'!P$6:P$40))</f>
        <v>#REF!</v>
      </c>
      <c r="AI86" s="33"/>
    </row>
    <row r="87" spans="5:36" x14ac:dyDescent="0.3">
      <c r="E87" s="196" t="s">
        <v>168</v>
      </c>
      <c r="F87" s="201"/>
      <c r="G87" s="201"/>
      <c r="H87" s="283"/>
      <c r="I87" s="284"/>
      <c r="J87" s="234"/>
      <c r="K87" s="264">
        <f>SUMIF('Marketing Stack - Lease-Up'!$B$6:$B$40,$E87,'Marketing Stack - Lease-Up'!E$6:E$40)</f>
        <v>2000</v>
      </c>
      <c r="L87" s="264">
        <f>SUMIF('Marketing Stack - Lease-Up'!$B$6:$B$40,$E87,'Marketing Stack - Lease-Up'!F$6:F$40)</f>
        <v>2000</v>
      </c>
      <c r="M87" s="264" t="e">
        <f>IF('Absorption Schedule'!#REF!&lt;90%,SUMIF('Marketing Stack - Lease-Up'!$B$6:$B$40,$E87,'Marketing Stack - Lease-Up'!G$6:G$40),SUMIF('Marketing Stack'!$B$6:$B$40,$E87,'Marketing Stack'!G$6:G$40))</f>
        <v>#REF!</v>
      </c>
      <c r="N87" s="264" t="e">
        <f>IF('Absorption Schedule'!#REF!&lt;90%,SUMIF('Marketing Stack - Lease-Up'!$B$6:$B$40,$E87,'Marketing Stack - Lease-Up'!H$6:H$40),SUMIF('Marketing Stack'!$B$6:$B$40,$E87,'Marketing Stack'!H$6:H$40))</f>
        <v>#REF!</v>
      </c>
      <c r="O87" s="264" t="e">
        <f>IF('Absorption Schedule'!#REF!&lt;90%,SUMIF('Marketing Stack - Lease-Up'!$B$6:$B$40,$E87,'Marketing Stack - Lease-Up'!I$6:I$40),SUMIF('Marketing Stack'!$B$6:$B$40,$E87,'Marketing Stack'!I$6:I$40))</f>
        <v>#REF!</v>
      </c>
      <c r="P87" s="264" t="e">
        <f>IF('Absorption Schedule'!#REF!&lt;90%,SUMIF('Marketing Stack - Lease-Up'!$B$6:$B$40,$E87,'Marketing Stack - Lease-Up'!J$6:J$40),SUMIF('Marketing Stack'!$B$6:$B$40,$E87,'Marketing Stack'!J$6:J$40))</f>
        <v>#REF!</v>
      </c>
      <c r="Q87" s="264" t="e">
        <f>IF('Absorption Schedule'!#REF!&lt;90%,SUMIF('Marketing Stack - Lease-Up'!$B$6:$B$40,$E87,'Marketing Stack - Lease-Up'!K$6:K$40),SUMIF('Marketing Stack'!$B$6:$B$40,$E87,'Marketing Stack'!K$6:K$40))</f>
        <v>#REF!</v>
      </c>
      <c r="R87" s="264" t="e">
        <f>IF('Absorption Schedule'!#REF!&lt;90%,SUMIF('Marketing Stack - Lease-Up'!$B$6:$B$40,$E87,'Marketing Stack - Lease-Up'!L$6:L$40),SUMIF('Marketing Stack'!$B$6:$B$40,$E87,'Marketing Stack'!L$6:L$40))</f>
        <v>#REF!</v>
      </c>
      <c r="S87" s="264" t="e">
        <f>IF('Absorption Schedule'!#REF!&lt;90%,SUMIF('Marketing Stack - Lease-Up'!$B$6:$B$40,$E87,'Marketing Stack - Lease-Up'!M$6:M$40),SUMIF('Marketing Stack'!$B$6:$B$40,$E87,'Marketing Stack'!M$6:M$40))</f>
        <v>#REF!</v>
      </c>
      <c r="T87" s="264" t="e">
        <f>IF('Absorption Schedule'!#REF!&lt;90%,SUMIF('Marketing Stack - Lease-Up'!$B$6:$B$40,$E87,'Marketing Stack - Lease-Up'!N$6:N$40),SUMIF('Marketing Stack'!$B$6:$B$40,$E87,'Marketing Stack'!N$6:N$40))</f>
        <v>#REF!</v>
      </c>
      <c r="U87" s="264" t="e">
        <f>IF('Absorption Schedule'!#REF!&lt;90%,SUMIF('Marketing Stack - Lease-Up'!$B$6:$B$40,$E87,'Marketing Stack - Lease-Up'!O$6:O$40),SUMIF('Marketing Stack'!$B$6:$B$40,$E87,'Marketing Stack'!O$6:O$40))</f>
        <v>#REF!</v>
      </c>
      <c r="V87" s="202" t="e">
        <f>IF('Absorption Schedule'!#REF!&lt;90%,SUMIF('Marketing Stack - Lease-Up'!$B$6:$B$40,$E87,'Marketing Stack - Lease-Up'!P$6:P$40),SUMIF('Marketing Stack'!$B$6:$B$40,$E87,'Marketing Stack'!P$6:P$40))</f>
        <v>#REF!</v>
      </c>
      <c r="W87" s="8" t="e">
        <f>IF('Absorption Schedule'!#REF!&lt;90%,SUMIF('Marketing Stack - Lease-Up'!$B$6:$B$40,$E87,'Marketing Stack - Lease-Up'!E$6:E$40),SUMIF('Marketing Stack'!$B$6:$B$40,$E87,'Marketing Stack'!E$6:E$40))</f>
        <v>#REF!</v>
      </c>
      <c r="X87" s="8" t="e">
        <f>IF('Absorption Schedule'!#REF!&lt;90%,SUMIF('Marketing Stack - Lease-Up'!$B$6:$B$40,$E87,'Marketing Stack - Lease-Up'!F$6:F$40),SUMIF('Marketing Stack'!$B$6:$B$40,$E87,'Marketing Stack'!F$6:F$40))</f>
        <v>#REF!</v>
      </c>
      <c r="Y87" s="8" t="e">
        <f>IF('Absorption Schedule'!#REF!&lt;90%,SUMIF('Marketing Stack - Lease-Up'!$B$6:$B$40,$E87,'Marketing Stack - Lease-Up'!G$6:G$40),SUMIF('Marketing Stack'!$B$6:$B$40,$E87,'Marketing Stack'!G$6:G$40))</f>
        <v>#REF!</v>
      </c>
      <c r="Z87" s="8" t="e">
        <f>IF('Absorption Schedule'!#REF!&lt;90%,SUMIF('Marketing Stack - Lease-Up'!$B$6:$B$40,$E87,'Marketing Stack - Lease-Up'!H$6:H$40),SUMIF('Marketing Stack'!$B$6:$B$40,$E87,'Marketing Stack'!H$6:H$40))</f>
        <v>#REF!</v>
      </c>
      <c r="AA87" s="8" t="e">
        <f>IF('Absorption Schedule'!#REF!&lt;90%,SUMIF('Marketing Stack - Lease-Up'!$B$6:$B$40,$E87,'Marketing Stack - Lease-Up'!I$6:I$40),SUMIF('Marketing Stack'!$B$6:$B$40,$E87,'Marketing Stack'!I$6:I$40))</f>
        <v>#REF!</v>
      </c>
      <c r="AB87" s="8" t="e">
        <f>IF('Absorption Schedule'!#REF!&lt;90%,SUMIF('Marketing Stack - Lease-Up'!$B$6:$B$40,$E87,'Marketing Stack - Lease-Up'!J$6:J$40),SUMIF('Marketing Stack'!$B$6:$B$40,$E87,'Marketing Stack'!J$6:J$40))</f>
        <v>#REF!</v>
      </c>
      <c r="AC87" s="8" t="e">
        <f>IF('Absorption Schedule'!#REF!&lt;90%,SUMIF('Marketing Stack - Lease-Up'!$B$6:$B$40,$E87,'Marketing Stack - Lease-Up'!K$6:K$40),SUMIF('Marketing Stack'!$B$6:$B$40,$E87,'Marketing Stack'!K$6:K$40))</f>
        <v>#REF!</v>
      </c>
      <c r="AD87" s="8" t="e">
        <f>IF('Absorption Schedule'!#REF!&lt;90%,SUMIF('Marketing Stack - Lease-Up'!$B$6:$B$40,$E87,'Marketing Stack - Lease-Up'!L$6:L$40),SUMIF('Marketing Stack'!$B$6:$B$40,$E87,'Marketing Stack'!L$6:L$40))</f>
        <v>#REF!</v>
      </c>
      <c r="AE87" s="8" t="e">
        <f>IF('Absorption Schedule'!#REF!&lt;90%,SUMIF('Marketing Stack - Lease-Up'!$B$6:$B$40,$E87,'Marketing Stack - Lease-Up'!M$6:M$40),SUMIF('Marketing Stack'!$B$6:$B$40,$E87,'Marketing Stack'!M$6:M$40))</f>
        <v>#REF!</v>
      </c>
      <c r="AF87" s="8" t="e">
        <f>IF('Absorption Schedule'!#REF!&lt;90%,SUMIF('Marketing Stack - Lease-Up'!$B$6:$B$40,$E87,'Marketing Stack - Lease-Up'!N$6:N$40),SUMIF('Marketing Stack'!$B$6:$B$40,$E87,'Marketing Stack'!N$6:N$40))</f>
        <v>#REF!</v>
      </c>
      <c r="AG87" s="8" t="e">
        <f>IF('Absorption Schedule'!#REF!&lt;90%,SUMIF('Marketing Stack - Lease-Up'!$B$6:$B$40,$E87,'Marketing Stack - Lease-Up'!O$6:O$40),SUMIF('Marketing Stack'!$B$6:$B$40,$E87,'Marketing Stack'!O$6:O$40))</f>
        <v>#REF!</v>
      </c>
      <c r="AH87" s="202" t="e">
        <f>IF('Absorption Schedule'!#REF!&lt;90%,SUMIF('Marketing Stack - Lease-Up'!$B$6:$B$40,$E87,'Marketing Stack - Lease-Up'!P$6:P$40),SUMIF('Marketing Stack'!$B$6:$B$40,$E87,'Marketing Stack'!P$6:P$40))</f>
        <v>#REF!</v>
      </c>
      <c r="AI87" s="33"/>
    </row>
    <row r="88" spans="5:36" x14ac:dyDescent="0.3">
      <c r="E88" s="203" t="s">
        <v>186</v>
      </c>
      <c r="F88" s="204"/>
      <c r="G88" s="204"/>
      <c r="H88" s="205">
        <f>SUM(H83:H87)</f>
        <v>0</v>
      </c>
      <c r="I88" s="206">
        <f t="shared" ref="I88:AH88" si="19">SUM(I83:I87)</f>
        <v>0</v>
      </c>
      <c r="J88" s="207">
        <f t="shared" si="19"/>
        <v>0</v>
      </c>
      <c r="K88" s="285">
        <f t="shared" si="19"/>
        <v>12725</v>
      </c>
      <c r="L88" s="285">
        <f t="shared" si="19"/>
        <v>11350</v>
      </c>
      <c r="M88" s="285" t="e">
        <f t="shared" si="19"/>
        <v>#REF!</v>
      </c>
      <c r="N88" s="285" t="e">
        <f t="shared" si="19"/>
        <v>#REF!</v>
      </c>
      <c r="O88" s="285" t="e">
        <f t="shared" si="19"/>
        <v>#REF!</v>
      </c>
      <c r="P88" s="285" t="e">
        <f t="shared" si="19"/>
        <v>#REF!</v>
      </c>
      <c r="Q88" s="285" t="e">
        <f t="shared" si="19"/>
        <v>#REF!</v>
      </c>
      <c r="R88" s="285" t="e">
        <f t="shared" si="19"/>
        <v>#REF!</v>
      </c>
      <c r="S88" s="285" t="e">
        <f t="shared" si="19"/>
        <v>#REF!</v>
      </c>
      <c r="T88" s="285" t="e">
        <f t="shared" si="19"/>
        <v>#REF!</v>
      </c>
      <c r="U88" s="285" t="e">
        <f t="shared" si="19"/>
        <v>#REF!</v>
      </c>
      <c r="V88" s="208" t="e">
        <f t="shared" si="19"/>
        <v>#REF!</v>
      </c>
      <c r="W88" s="285" t="e">
        <f t="shared" si="19"/>
        <v>#REF!</v>
      </c>
      <c r="X88" s="285" t="e">
        <f t="shared" si="19"/>
        <v>#REF!</v>
      </c>
      <c r="Y88" s="285" t="e">
        <f t="shared" si="19"/>
        <v>#REF!</v>
      </c>
      <c r="Z88" s="285" t="e">
        <f t="shared" si="19"/>
        <v>#REF!</v>
      </c>
      <c r="AA88" s="285" t="e">
        <f t="shared" si="19"/>
        <v>#REF!</v>
      </c>
      <c r="AB88" s="285" t="e">
        <f t="shared" si="19"/>
        <v>#REF!</v>
      </c>
      <c r="AC88" s="285" t="e">
        <f t="shared" si="19"/>
        <v>#REF!</v>
      </c>
      <c r="AD88" s="285" t="e">
        <f t="shared" si="19"/>
        <v>#REF!</v>
      </c>
      <c r="AE88" s="285" t="e">
        <f t="shared" si="19"/>
        <v>#REF!</v>
      </c>
      <c r="AF88" s="285" t="e">
        <f t="shared" si="19"/>
        <v>#REF!</v>
      </c>
      <c r="AG88" s="285" t="e">
        <f t="shared" si="19"/>
        <v>#REF!</v>
      </c>
      <c r="AH88" s="202" t="e">
        <f t="shared" si="19"/>
        <v>#REF!</v>
      </c>
      <c r="AI88" s="33"/>
      <c r="AJ88" s="33"/>
    </row>
    <row r="89" spans="5:36" x14ac:dyDescent="0.3">
      <c r="E89" s="225"/>
      <c r="H89" s="268"/>
      <c r="J89" s="269"/>
      <c r="K89" s="8"/>
      <c r="L89" s="8"/>
      <c r="M89" s="8"/>
      <c r="N89" s="8"/>
      <c r="O89" s="8"/>
      <c r="P89" s="8"/>
      <c r="Q89" s="8"/>
      <c r="R89" s="8"/>
      <c r="S89" s="8"/>
      <c r="T89" s="8"/>
      <c r="U89" s="8"/>
      <c r="V89" s="241"/>
      <c r="W89" s="8"/>
      <c r="X89" s="8"/>
      <c r="Y89" s="8"/>
      <c r="Z89" s="8"/>
      <c r="AA89" s="8"/>
      <c r="AB89" s="8"/>
      <c r="AC89" s="8"/>
      <c r="AD89" s="8"/>
      <c r="AE89" s="8"/>
      <c r="AF89" s="8"/>
      <c r="AG89" s="8"/>
      <c r="AH89" s="241"/>
      <c r="AI89" s="33"/>
    </row>
    <row r="90" spans="5:36" x14ac:dyDescent="0.3">
      <c r="E90" s="213" t="s">
        <v>170</v>
      </c>
      <c r="F90" s="214"/>
      <c r="G90" s="214"/>
      <c r="H90" s="286"/>
      <c r="I90" s="287"/>
      <c r="J90" s="253"/>
      <c r="K90" s="254" cm="1">
        <f t="array" ref="K90">SUMIF('R&amp;M Assumptions'!$B:$B, $E90 'R&amp;M Assumptions'!E:E)</f>
        <v>0</v>
      </c>
      <c r="L90" s="254" cm="1">
        <f t="array" ref="L90">SUMIF('R&amp;M Assumptions'!$B:$B, $E90 'R&amp;M Assumptions'!F:F)</f>
        <v>0</v>
      </c>
      <c r="M90" s="254" cm="1">
        <f t="array" ref="M90">SUMIF('R&amp;M Assumptions'!$B:$B, $E90 'R&amp;M Assumptions'!G:G)</f>
        <v>0</v>
      </c>
      <c r="N90" s="254" cm="1">
        <f t="array" ref="N90">SUMIF('R&amp;M Assumptions'!$B:$B, $E90 'R&amp;M Assumptions'!H:H)</f>
        <v>0</v>
      </c>
      <c r="O90" s="254" cm="1">
        <f t="array" ref="O90">SUMIF('R&amp;M Assumptions'!$B:$B, $E90 'R&amp;M Assumptions'!I:I)</f>
        <v>0</v>
      </c>
      <c r="P90" s="254" cm="1">
        <f t="array" ref="P90">SUMIF('R&amp;M Assumptions'!$B:$B, $E90 'R&amp;M Assumptions'!J:J)</f>
        <v>0</v>
      </c>
      <c r="Q90" s="254" cm="1">
        <f t="array" ref="Q90">SUMIF('R&amp;M Assumptions'!$B:$B, $E90 'R&amp;M Assumptions'!K:K)</f>
        <v>0</v>
      </c>
      <c r="R90" s="254" cm="1">
        <f t="array" ref="R90">SUMIF('R&amp;M Assumptions'!$B:$B, $E90 'R&amp;M Assumptions'!L:L)</f>
        <v>0</v>
      </c>
      <c r="S90" s="254" cm="1">
        <f t="array" ref="S90">SUMIF('R&amp;M Assumptions'!$B:$B, $E90 'R&amp;M Assumptions'!M:M)</f>
        <v>0</v>
      </c>
      <c r="T90" s="254" cm="1">
        <f t="array" ref="T90">SUMIF('R&amp;M Assumptions'!$B:$B, $E90 'R&amp;M Assumptions'!N:N)</f>
        <v>0</v>
      </c>
      <c r="U90" s="254" cm="1">
        <f t="array" ref="U90">SUMIF('R&amp;M Assumptions'!$B:$B, $E90 'R&amp;M Assumptions'!O:O)</f>
        <v>0</v>
      </c>
      <c r="V90" s="195" cm="1">
        <f t="array" ref="V90">SUMIF('R&amp;M Assumptions'!$B:$B, $E90 'R&amp;M Assumptions'!P:P)</f>
        <v>0</v>
      </c>
      <c r="W90" s="254" cm="1">
        <f t="array" ref="W90">SUMIF('R&amp;M Assumptions'!$B:$B, $E90 'R&amp;M Assumptions'!E:E)</f>
        <v>0</v>
      </c>
      <c r="X90" s="254" cm="1">
        <f t="array" ref="X90">SUMIF('R&amp;M Assumptions'!$B:$B, $E90 'R&amp;M Assumptions'!F:F)</f>
        <v>0</v>
      </c>
      <c r="Y90" s="254" cm="1">
        <f t="array" ref="Y90">SUMIF('R&amp;M Assumptions'!$B:$B, $E90 'R&amp;M Assumptions'!G:G)</f>
        <v>0</v>
      </c>
      <c r="Z90" s="254" cm="1">
        <f t="array" ref="Z90">SUMIF('R&amp;M Assumptions'!$B:$B, $E90 'R&amp;M Assumptions'!H:H)</f>
        <v>0</v>
      </c>
      <c r="AA90" s="254" cm="1">
        <f t="array" ref="AA90">SUMIF('R&amp;M Assumptions'!$B:$B, $E90 'R&amp;M Assumptions'!I:I)</f>
        <v>0</v>
      </c>
      <c r="AB90" s="254" cm="1">
        <f t="array" ref="AB90">SUMIF('R&amp;M Assumptions'!$B:$B, $E90 'R&amp;M Assumptions'!J:J)</f>
        <v>0</v>
      </c>
      <c r="AC90" s="254" cm="1">
        <f t="array" ref="AC90">SUMIF('R&amp;M Assumptions'!$B:$B, $E90 'R&amp;M Assumptions'!K:K)</f>
        <v>0</v>
      </c>
      <c r="AD90" s="254" cm="1">
        <f t="array" ref="AD90">SUMIF('R&amp;M Assumptions'!$B:$B, $E90 'R&amp;M Assumptions'!L:L)</f>
        <v>0</v>
      </c>
      <c r="AE90" s="254" cm="1">
        <f t="array" ref="AE90">SUMIF('R&amp;M Assumptions'!$B:$B, $E90 'R&amp;M Assumptions'!M:M)</f>
        <v>0</v>
      </c>
      <c r="AF90" s="254" cm="1">
        <f t="array" ref="AF90">SUMIF('R&amp;M Assumptions'!$B:$B, $E90 'R&amp;M Assumptions'!N:N)</f>
        <v>0</v>
      </c>
      <c r="AG90" s="254" cm="1">
        <f t="array" ref="AG90">SUMIF('R&amp;M Assumptions'!$B:$B, $E90 'R&amp;M Assumptions'!O:O)</f>
        <v>0</v>
      </c>
      <c r="AH90" s="195" cm="1">
        <f t="array" ref="AH90">SUMIF('R&amp;M Assumptions'!$B:$B, $E90 'R&amp;M Assumptions'!P:P)</f>
        <v>0</v>
      </c>
      <c r="AI90" s="33"/>
    </row>
    <row r="91" spans="5:36" x14ac:dyDescent="0.3">
      <c r="E91" s="225" t="s">
        <v>238</v>
      </c>
      <c r="H91" s="279"/>
      <c r="I91" s="280"/>
      <c r="J91" s="229"/>
      <c r="K91" s="8" cm="1">
        <f t="array" ref="K91">SUMIF('R&amp;M Assumptions'!$B:$B, $E91 'R&amp;M Assumptions'!E:E)</f>
        <v>0</v>
      </c>
      <c r="L91" s="8" cm="1">
        <f t="array" ref="L91">SUMIF('R&amp;M Assumptions'!$B:$B, $E91 'R&amp;M Assumptions'!F:F)</f>
        <v>0</v>
      </c>
      <c r="M91" s="8" cm="1">
        <f t="array" ref="M91">SUMIF('R&amp;M Assumptions'!$B:$B, $E91 'R&amp;M Assumptions'!G:G)</f>
        <v>0</v>
      </c>
      <c r="N91" s="8" cm="1">
        <f t="array" ref="N91">SUMIF('R&amp;M Assumptions'!$B:$B, $E91 'R&amp;M Assumptions'!H:H)</f>
        <v>0</v>
      </c>
      <c r="O91" s="8" cm="1">
        <f t="array" ref="O91">SUMIF('R&amp;M Assumptions'!$B:$B, $E91 'R&amp;M Assumptions'!I:I)</f>
        <v>0</v>
      </c>
      <c r="P91" s="8" cm="1">
        <f t="array" ref="P91">SUMIF('R&amp;M Assumptions'!$B:$B, $E91 'R&amp;M Assumptions'!J:J)</f>
        <v>0</v>
      </c>
      <c r="Q91" s="8" cm="1">
        <f t="array" ref="Q91">SUMIF('R&amp;M Assumptions'!$B:$B, $E91 'R&amp;M Assumptions'!K:K)</f>
        <v>0</v>
      </c>
      <c r="R91" s="8" cm="1">
        <f t="array" ref="R91">SUMIF('R&amp;M Assumptions'!$B:$B, $E91 'R&amp;M Assumptions'!L:L)</f>
        <v>0</v>
      </c>
      <c r="S91" s="8" cm="1">
        <f t="array" ref="S91">SUMIF('R&amp;M Assumptions'!$B:$B, $E91 'R&amp;M Assumptions'!M:M)</f>
        <v>0</v>
      </c>
      <c r="T91" s="8" cm="1">
        <f t="array" ref="T91">SUMIF('R&amp;M Assumptions'!$B:$B, $E91 'R&amp;M Assumptions'!N:N)</f>
        <v>0</v>
      </c>
      <c r="U91" s="8" cm="1">
        <f t="array" ref="U91">SUMIF('R&amp;M Assumptions'!$B:$B, $E91 'R&amp;M Assumptions'!O:O)</f>
        <v>0</v>
      </c>
      <c r="V91" s="233" cm="1">
        <f t="array" ref="V91">SUMIF('R&amp;M Assumptions'!$B:$B, $E91 'R&amp;M Assumptions'!P:P)</f>
        <v>0</v>
      </c>
      <c r="W91" s="8" cm="1">
        <f t="array" ref="W91">SUMIF('R&amp;M Assumptions'!$B:$B, $E91 'R&amp;M Assumptions'!E:E)</f>
        <v>0</v>
      </c>
      <c r="X91" s="8" cm="1">
        <f t="array" ref="X91">SUMIF('R&amp;M Assumptions'!$B:$B, $E91 'R&amp;M Assumptions'!F:F)</f>
        <v>0</v>
      </c>
      <c r="Y91" s="8" cm="1">
        <f t="array" ref="Y91">SUMIF('R&amp;M Assumptions'!$B:$B, $E91 'R&amp;M Assumptions'!G:G)</f>
        <v>0</v>
      </c>
      <c r="Z91" s="8" cm="1">
        <f t="array" ref="Z91">SUMIF('R&amp;M Assumptions'!$B:$B, $E91 'R&amp;M Assumptions'!H:H)</f>
        <v>0</v>
      </c>
      <c r="AA91" s="8" cm="1">
        <f t="array" ref="AA91">SUMIF('R&amp;M Assumptions'!$B:$B, $E91 'R&amp;M Assumptions'!I:I)</f>
        <v>0</v>
      </c>
      <c r="AB91" s="8" cm="1">
        <f t="array" ref="AB91">SUMIF('R&amp;M Assumptions'!$B:$B, $E91 'R&amp;M Assumptions'!J:J)</f>
        <v>0</v>
      </c>
      <c r="AC91" s="8" cm="1">
        <f t="array" ref="AC91">SUMIF('R&amp;M Assumptions'!$B:$B, $E91 'R&amp;M Assumptions'!K:K)</f>
        <v>0</v>
      </c>
      <c r="AD91" s="8" cm="1">
        <f t="array" ref="AD91">SUMIF('R&amp;M Assumptions'!$B:$B, $E91 'R&amp;M Assumptions'!L:L)</f>
        <v>0</v>
      </c>
      <c r="AE91" s="8" cm="1">
        <f t="array" ref="AE91">SUMIF('R&amp;M Assumptions'!$B:$B, $E91 'R&amp;M Assumptions'!M:M)</f>
        <v>0</v>
      </c>
      <c r="AF91" s="8" cm="1">
        <f t="array" ref="AF91">SUMIF('R&amp;M Assumptions'!$B:$B, $E91 'R&amp;M Assumptions'!N:N)</f>
        <v>0</v>
      </c>
      <c r="AG91" s="8" cm="1">
        <f t="array" ref="AG91">SUMIF('R&amp;M Assumptions'!$B:$B, $E91 'R&amp;M Assumptions'!O:O)</f>
        <v>0</v>
      </c>
      <c r="AH91" s="233" cm="1">
        <f t="array" ref="AH91">SUMIF('R&amp;M Assumptions'!$B:$B, $E91 'R&amp;M Assumptions'!P:P)</f>
        <v>0</v>
      </c>
      <c r="AI91" s="33"/>
    </row>
    <row r="92" spans="5:36" x14ac:dyDescent="0.3">
      <c r="E92" s="225"/>
      <c r="H92" s="279"/>
      <c r="I92" s="280"/>
      <c r="J92" s="229"/>
      <c r="K92" s="8" cm="1">
        <f t="array" ref="K92">SUMIF('R&amp;M Assumptions'!$B:$B, $E92 'R&amp;M Assumptions'!E:E)</f>
        <v>0</v>
      </c>
      <c r="L92" s="8" cm="1">
        <f t="array" ref="L92">SUMIF('R&amp;M Assumptions'!$B:$B, $E92 'R&amp;M Assumptions'!F:F)</f>
        <v>0</v>
      </c>
      <c r="M92" s="8" cm="1">
        <f t="array" ref="M92">SUMIF('R&amp;M Assumptions'!$B:$B, $E92 'R&amp;M Assumptions'!G:G)</f>
        <v>0</v>
      </c>
      <c r="N92" s="8" cm="1">
        <f t="array" ref="N92">SUMIF('R&amp;M Assumptions'!$B:$B, $E92 'R&amp;M Assumptions'!H:H)</f>
        <v>0</v>
      </c>
      <c r="O92" s="8" cm="1">
        <f t="array" ref="O92">SUMIF('R&amp;M Assumptions'!$B:$B, $E92 'R&amp;M Assumptions'!I:I)</f>
        <v>0</v>
      </c>
      <c r="P92" s="8" cm="1">
        <f t="array" ref="P92">SUMIF('R&amp;M Assumptions'!$B:$B, $E92 'R&amp;M Assumptions'!J:J)</f>
        <v>0</v>
      </c>
      <c r="Q92" s="8" cm="1">
        <f t="array" ref="Q92">SUMIF('R&amp;M Assumptions'!$B:$B, $E92 'R&amp;M Assumptions'!K:K)</f>
        <v>0</v>
      </c>
      <c r="R92" s="8" cm="1">
        <f t="array" ref="R92">SUMIF('R&amp;M Assumptions'!$B:$B, $E92 'R&amp;M Assumptions'!L:L)</f>
        <v>0</v>
      </c>
      <c r="S92" s="8" cm="1">
        <f t="array" ref="S92">SUMIF('R&amp;M Assumptions'!$B:$B, $E92 'R&amp;M Assumptions'!M:M)</f>
        <v>0</v>
      </c>
      <c r="T92" s="8" cm="1">
        <f t="array" ref="T92">SUMIF('R&amp;M Assumptions'!$B:$B, $E92 'R&amp;M Assumptions'!N:N)</f>
        <v>0</v>
      </c>
      <c r="U92" s="8" cm="1">
        <f t="array" ref="U92">SUMIF('R&amp;M Assumptions'!$B:$B, $E92 'R&amp;M Assumptions'!O:O)</f>
        <v>0</v>
      </c>
      <c r="V92" s="233" cm="1">
        <f t="array" ref="V92">SUMIF('R&amp;M Assumptions'!$B:$B, $E92 'R&amp;M Assumptions'!P:P)</f>
        <v>0</v>
      </c>
      <c r="W92" s="8" cm="1">
        <f t="array" ref="W92">SUMIF('R&amp;M Assumptions'!$B:$B, $E92 'R&amp;M Assumptions'!E:E)</f>
        <v>0</v>
      </c>
      <c r="X92" s="8" cm="1">
        <f t="array" ref="X92">SUMIF('R&amp;M Assumptions'!$B:$B, $E92 'R&amp;M Assumptions'!F:F)</f>
        <v>0</v>
      </c>
      <c r="Y92" s="8" cm="1">
        <f t="array" ref="Y92">SUMIF('R&amp;M Assumptions'!$B:$B, $E92 'R&amp;M Assumptions'!G:G)</f>
        <v>0</v>
      </c>
      <c r="Z92" s="8" cm="1">
        <f t="array" ref="Z92">SUMIF('R&amp;M Assumptions'!$B:$B, $E92 'R&amp;M Assumptions'!H:H)</f>
        <v>0</v>
      </c>
      <c r="AA92" s="8" cm="1">
        <f t="array" ref="AA92">SUMIF('R&amp;M Assumptions'!$B:$B, $E92 'R&amp;M Assumptions'!I:I)</f>
        <v>0</v>
      </c>
      <c r="AB92" s="8" cm="1">
        <f t="array" ref="AB92">SUMIF('R&amp;M Assumptions'!$B:$B, $E92 'R&amp;M Assumptions'!J:J)</f>
        <v>0</v>
      </c>
      <c r="AC92" s="8" cm="1">
        <f t="array" ref="AC92">SUMIF('R&amp;M Assumptions'!$B:$B, $E92 'R&amp;M Assumptions'!K:K)</f>
        <v>0</v>
      </c>
      <c r="AD92" s="8" cm="1">
        <f t="array" ref="AD92">SUMIF('R&amp;M Assumptions'!$B:$B, $E92 'R&amp;M Assumptions'!L:L)</f>
        <v>0</v>
      </c>
      <c r="AE92" s="8" cm="1">
        <f t="array" ref="AE92">SUMIF('R&amp;M Assumptions'!$B:$B, $E92 'R&amp;M Assumptions'!M:M)</f>
        <v>0</v>
      </c>
      <c r="AF92" s="8" cm="1">
        <f t="array" ref="AF92">SUMIF('R&amp;M Assumptions'!$B:$B, $E92 'R&amp;M Assumptions'!N:N)</f>
        <v>0</v>
      </c>
      <c r="AG92" s="8" cm="1">
        <f t="array" ref="AG92">SUMIF('R&amp;M Assumptions'!$B:$B, $E92 'R&amp;M Assumptions'!O:O)</f>
        <v>0</v>
      </c>
      <c r="AH92" s="233" cm="1">
        <f t="array" ref="AH92">SUMIF('R&amp;M Assumptions'!$B:$B, $E92 'R&amp;M Assumptions'!P:P)</f>
        <v>0</v>
      </c>
      <c r="AI92" s="33"/>
    </row>
    <row r="93" spans="5:36" x14ac:dyDescent="0.3">
      <c r="E93" s="225" t="s">
        <v>225</v>
      </c>
      <c r="H93" s="279"/>
      <c r="I93" s="280"/>
      <c r="J93" s="229"/>
      <c r="K93" s="8" cm="1">
        <f t="array" ref="K93">SUMIF('R&amp;M Assumptions'!$B:$B, $E93 'R&amp;M Assumptions'!E:E)</f>
        <v>0</v>
      </c>
      <c r="L93" s="8" cm="1">
        <f t="array" ref="L93">SUMIF('R&amp;M Assumptions'!$B:$B, $E93 'R&amp;M Assumptions'!F:F)</f>
        <v>0</v>
      </c>
      <c r="M93" s="8" cm="1">
        <f t="array" ref="M93">SUMIF('R&amp;M Assumptions'!$B:$B, $E93 'R&amp;M Assumptions'!G:G)</f>
        <v>0</v>
      </c>
      <c r="N93" s="8" cm="1">
        <f t="array" ref="N93">SUMIF('R&amp;M Assumptions'!$B:$B, $E93 'R&amp;M Assumptions'!H:H)</f>
        <v>0</v>
      </c>
      <c r="O93" s="8" cm="1">
        <f t="array" ref="O93">SUMIF('R&amp;M Assumptions'!$B:$B, $E93 'R&amp;M Assumptions'!I:I)</f>
        <v>0</v>
      </c>
      <c r="P93" s="8" cm="1">
        <f t="array" ref="P93">SUMIF('R&amp;M Assumptions'!$B:$B, $E93 'R&amp;M Assumptions'!J:J)</f>
        <v>0</v>
      </c>
      <c r="Q93" s="8" cm="1">
        <f t="array" ref="Q93">SUMIF('R&amp;M Assumptions'!$B:$B, $E93 'R&amp;M Assumptions'!K:K)</f>
        <v>0</v>
      </c>
      <c r="R93" s="8" cm="1">
        <f t="array" ref="R93">SUMIF('R&amp;M Assumptions'!$B:$B, $E93 'R&amp;M Assumptions'!L:L)</f>
        <v>0</v>
      </c>
      <c r="S93" s="8" cm="1">
        <f t="array" ref="S93">SUMIF('R&amp;M Assumptions'!$B:$B, $E93 'R&amp;M Assumptions'!M:M)</f>
        <v>0</v>
      </c>
      <c r="T93" s="8" cm="1">
        <f t="array" ref="T93">SUMIF('R&amp;M Assumptions'!$B:$B, $E93 'R&amp;M Assumptions'!N:N)</f>
        <v>0</v>
      </c>
      <c r="U93" s="8" cm="1">
        <f t="array" ref="U93">SUMIF('R&amp;M Assumptions'!$B:$B, $E93 'R&amp;M Assumptions'!O:O)</f>
        <v>0</v>
      </c>
      <c r="V93" s="233" cm="1">
        <f t="array" ref="V93">SUMIF('R&amp;M Assumptions'!$B:$B, $E93 'R&amp;M Assumptions'!P:P)</f>
        <v>0</v>
      </c>
      <c r="W93" s="8" cm="1">
        <f t="array" ref="W93">SUMIF('R&amp;M Assumptions'!$B:$B, $E93 'R&amp;M Assumptions'!E:E)</f>
        <v>0</v>
      </c>
      <c r="X93" s="8" cm="1">
        <f t="array" ref="X93">SUMIF('R&amp;M Assumptions'!$B:$B, $E93 'R&amp;M Assumptions'!F:F)</f>
        <v>0</v>
      </c>
      <c r="Y93" s="8" cm="1">
        <f t="array" ref="Y93">SUMIF('R&amp;M Assumptions'!$B:$B, $E93 'R&amp;M Assumptions'!G:G)</f>
        <v>0</v>
      </c>
      <c r="Z93" s="8" cm="1">
        <f t="array" ref="Z93">SUMIF('R&amp;M Assumptions'!$B:$B, $E93 'R&amp;M Assumptions'!H:H)</f>
        <v>0</v>
      </c>
      <c r="AA93" s="8" cm="1">
        <f t="array" ref="AA93">SUMIF('R&amp;M Assumptions'!$B:$B, $E93 'R&amp;M Assumptions'!I:I)</f>
        <v>0</v>
      </c>
      <c r="AB93" s="8" cm="1">
        <f t="array" ref="AB93">SUMIF('R&amp;M Assumptions'!$B:$B, $E93 'R&amp;M Assumptions'!J:J)</f>
        <v>0</v>
      </c>
      <c r="AC93" s="8" cm="1">
        <f t="array" ref="AC93">SUMIF('R&amp;M Assumptions'!$B:$B, $E93 'R&amp;M Assumptions'!K:K)</f>
        <v>0</v>
      </c>
      <c r="AD93" s="8" cm="1">
        <f t="array" ref="AD93">SUMIF('R&amp;M Assumptions'!$B:$B, $E93 'R&amp;M Assumptions'!L:L)</f>
        <v>0</v>
      </c>
      <c r="AE93" s="8" cm="1">
        <f t="array" ref="AE93">SUMIF('R&amp;M Assumptions'!$B:$B, $E93 'R&amp;M Assumptions'!M:M)</f>
        <v>0</v>
      </c>
      <c r="AF93" s="8" cm="1">
        <f t="array" ref="AF93">SUMIF('R&amp;M Assumptions'!$B:$B, $E93 'R&amp;M Assumptions'!N:N)</f>
        <v>0</v>
      </c>
      <c r="AG93" s="8" cm="1">
        <f t="array" ref="AG93">SUMIF('R&amp;M Assumptions'!$B:$B, $E93 'R&amp;M Assumptions'!O:O)</f>
        <v>0</v>
      </c>
      <c r="AH93" s="233" cm="1">
        <f t="array" ref="AH93">SUMIF('R&amp;M Assumptions'!$B:$B, $E93 'R&amp;M Assumptions'!P:P)</f>
        <v>0</v>
      </c>
      <c r="AI93" s="33"/>
    </row>
    <row r="94" spans="5:36" x14ac:dyDescent="0.3">
      <c r="E94" s="225"/>
      <c r="H94" s="279"/>
      <c r="I94" s="280"/>
      <c r="J94" s="229"/>
      <c r="K94" s="8" cm="1">
        <f t="array" ref="K94">SUMIF('R&amp;M Assumptions'!$B:$B, $E94 'R&amp;M Assumptions'!E:E)</f>
        <v>0</v>
      </c>
      <c r="L94" s="8" cm="1">
        <f t="array" ref="L94">SUMIF('R&amp;M Assumptions'!$B:$B, $E94 'R&amp;M Assumptions'!F:F)</f>
        <v>0</v>
      </c>
      <c r="M94" s="8" cm="1">
        <f t="array" ref="M94">SUMIF('R&amp;M Assumptions'!$B:$B, $E94 'R&amp;M Assumptions'!G:G)</f>
        <v>0</v>
      </c>
      <c r="N94" s="8" cm="1">
        <f t="array" ref="N94">SUMIF('R&amp;M Assumptions'!$B:$B, $E94 'R&amp;M Assumptions'!H:H)</f>
        <v>0</v>
      </c>
      <c r="O94" s="8" cm="1">
        <f t="array" ref="O94">SUMIF('R&amp;M Assumptions'!$B:$B, $E94 'R&amp;M Assumptions'!I:I)</f>
        <v>0</v>
      </c>
      <c r="P94" s="8" cm="1">
        <f t="array" ref="P94">SUMIF('R&amp;M Assumptions'!$B:$B, $E94 'R&amp;M Assumptions'!J:J)</f>
        <v>0</v>
      </c>
      <c r="Q94" s="8" cm="1">
        <f t="array" ref="Q94">SUMIF('R&amp;M Assumptions'!$B:$B, $E94 'R&amp;M Assumptions'!K:K)</f>
        <v>0</v>
      </c>
      <c r="R94" s="8" cm="1">
        <f t="array" ref="R94">SUMIF('R&amp;M Assumptions'!$B:$B, $E94 'R&amp;M Assumptions'!L:L)</f>
        <v>0</v>
      </c>
      <c r="S94" s="8" cm="1">
        <f t="array" ref="S94">SUMIF('R&amp;M Assumptions'!$B:$B, $E94 'R&amp;M Assumptions'!M:M)</f>
        <v>0</v>
      </c>
      <c r="T94" s="8" cm="1">
        <f t="array" ref="T94">SUMIF('R&amp;M Assumptions'!$B:$B, $E94 'R&amp;M Assumptions'!N:N)</f>
        <v>0</v>
      </c>
      <c r="U94" s="8" cm="1">
        <f t="array" ref="U94">SUMIF('R&amp;M Assumptions'!$B:$B, $E94 'R&amp;M Assumptions'!O:O)</f>
        <v>0</v>
      </c>
      <c r="V94" s="233" cm="1">
        <f t="array" ref="V94">SUMIF('R&amp;M Assumptions'!$B:$B, $E94 'R&amp;M Assumptions'!P:P)</f>
        <v>0</v>
      </c>
      <c r="W94" s="8" cm="1">
        <f t="array" ref="W94">SUMIF('R&amp;M Assumptions'!$B:$B, $E94 'R&amp;M Assumptions'!E:E)</f>
        <v>0</v>
      </c>
      <c r="X94" s="8" cm="1">
        <f t="array" ref="X94">SUMIF('R&amp;M Assumptions'!$B:$B, $E94 'R&amp;M Assumptions'!F:F)</f>
        <v>0</v>
      </c>
      <c r="Y94" s="8" cm="1">
        <f t="array" ref="Y94">SUMIF('R&amp;M Assumptions'!$B:$B, $E94 'R&amp;M Assumptions'!G:G)</f>
        <v>0</v>
      </c>
      <c r="Z94" s="8" cm="1">
        <f t="array" ref="Z94">SUMIF('R&amp;M Assumptions'!$B:$B, $E94 'R&amp;M Assumptions'!H:H)</f>
        <v>0</v>
      </c>
      <c r="AA94" s="8" cm="1">
        <f t="array" ref="AA94">SUMIF('R&amp;M Assumptions'!$B:$B, $E94 'R&amp;M Assumptions'!I:I)</f>
        <v>0</v>
      </c>
      <c r="AB94" s="8" cm="1">
        <f t="array" ref="AB94">SUMIF('R&amp;M Assumptions'!$B:$B, $E94 'R&amp;M Assumptions'!J:J)</f>
        <v>0</v>
      </c>
      <c r="AC94" s="8" cm="1">
        <f t="array" ref="AC94">SUMIF('R&amp;M Assumptions'!$B:$B, $E94 'R&amp;M Assumptions'!K:K)</f>
        <v>0</v>
      </c>
      <c r="AD94" s="8" cm="1">
        <f t="array" ref="AD94">SUMIF('R&amp;M Assumptions'!$B:$B, $E94 'R&amp;M Assumptions'!L:L)</f>
        <v>0</v>
      </c>
      <c r="AE94" s="8" cm="1">
        <f t="array" ref="AE94">SUMIF('R&amp;M Assumptions'!$B:$B, $E94 'R&amp;M Assumptions'!M:M)</f>
        <v>0</v>
      </c>
      <c r="AF94" s="8" cm="1">
        <f t="array" ref="AF94">SUMIF('R&amp;M Assumptions'!$B:$B, $E94 'R&amp;M Assumptions'!N:N)</f>
        <v>0</v>
      </c>
      <c r="AG94" s="8" cm="1">
        <f t="array" ref="AG94">SUMIF('R&amp;M Assumptions'!$B:$B, $E94 'R&amp;M Assumptions'!O:O)</f>
        <v>0</v>
      </c>
      <c r="AH94" s="233" cm="1">
        <f t="array" ref="AH94">SUMIF('R&amp;M Assumptions'!$B:$B, $E94 'R&amp;M Assumptions'!P:P)</f>
        <v>0</v>
      </c>
      <c r="AI94" s="33"/>
    </row>
    <row r="95" spans="5:36" x14ac:dyDescent="0.3">
      <c r="E95" s="225" t="s">
        <v>429</v>
      </c>
      <c r="H95" s="279"/>
      <c r="I95" s="280"/>
      <c r="J95" s="229"/>
      <c r="K95" s="8" cm="1">
        <f t="array" ref="K95">SUMIF('R&amp;M Assumptions'!$B:$B, $E95 'R&amp;M Assumptions'!E:E)</f>
        <v>0</v>
      </c>
      <c r="L95" s="8" cm="1">
        <f t="array" ref="L95">SUMIF('R&amp;M Assumptions'!$B:$B, $E95 'R&amp;M Assumptions'!F:F)</f>
        <v>0</v>
      </c>
      <c r="M95" s="8" cm="1">
        <f t="array" ref="M95">SUMIF('R&amp;M Assumptions'!$B:$B, $E95 'R&amp;M Assumptions'!G:G)</f>
        <v>0</v>
      </c>
      <c r="N95" s="8" cm="1">
        <f t="array" ref="N95">SUMIF('R&amp;M Assumptions'!$B:$B, $E95 'R&amp;M Assumptions'!H:H)</f>
        <v>0</v>
      </c>
      <c r="O95" s="8" cm="1">
        <f t="array" ref="O95">SUMIF('R&amp;M Assumptions'!$B:$B, $E95 'R&amp;M Assumptions'!I:I)</f>
        <v>0</v>
      </c>
      <c r="P95" s="8" cm="1">
        <f t="array" ref="P95">SUMIF('R&amp;M Assumptions'!$B:$B, $E95 'R&amp;M Assumptions'!J:J)</f>
        <v>0</v>
      </c>
      <c r="Q95" s="8" cm="1">
        <f t="array" ref="Q95">SUMIF('R&amp;M Assumptions'!$B:$B, $E95 'R&amp;M Assumptions'!K:K)</f>
        <v>0</v>
      </c>
      <c r="R95" s="8" cm="1">
        <f t="array" ref="R95">SUMIF('R&amp;M Assumptions'!$B:$B, $E95 'R&amp;M Assumptions'!L:L)</f>
        <v>0</v>
      </c>
      <c r="S95" s="8" cm="1">
        <f t="array" ref="S95">SUMIF('R&amp;M Assumptions'!$B:$B, $E95 'R&amp;M Assumptions'!M:M)</f>
        <v>0</v>
      </c>
      <c r="T95" s="8" cm="1">
        <f t="array" ref="T95">SUMIF('R&amp;M Assumptions'!$B:$B, $E95 'R&amp;M Assumptions'!N:N)</f>
        <v>0</v>
      </c>
      <c r="U95" s="8" cm="1">
        <f t="array" ref="U95">SUMIF('R&amp;M Assumptions'!$B:$B, $E95 'R&amp;M Assumptions'!O:O)</f>
        <v>0</v>
      </c>
      <c r="V95" s="202" cm="1">
        <f t="array" ref="V95">SUMIF('R&amp;M Assumptions'!$B:$B, $E95 'R&amp;M Assumptions'!P:P)</f>
        <v>0</v>
      </c>
      <c r="W95" s="264" cm="1">
        <f t="array" ref="W95">SUMIF('R&amp;M Assumptions'!$B:$B, $E95 'R&amp;M Assumptions'!E:E)</f>
        <v>0</v>
      </c>
      <c r="X95" s="264" cm="1">
        <f t="array" ref="X95">SUMIF('R&amp;M Assumptions'!$B:$B, $E95 'R&amp;M Assumptions'!F:F)</f>
        <v>0</v>
      </c>
      <c r="Y95" s="264" cm="1">
        <f t="array" ref="Y95">SUMIF('R&amp;M Assumptions'!$B:$B, $E95 'R&amp;M Assumptions'!G:G)</f>
        <v>0</v>
      </c>
      <c r="Z95" s="264" cm="1">
        <f t="array" ref="Z95">SUMIF('R&amp;M Assumptions'!$B:$B, $E95 'R&amp;M Assumptions'!H:H)</f>
        <v>0</v>
      </c>
      <c r="AA95" s="264" cm="1">
        <f t="array" ref="AA95">SUMIF('R&amp;M Assumptions'!$B:$B, $E95 'R&amp;M Assumptions'!I:I)</f>
        <v>0</v>
      </c>
      <c r="AB95" s="264" cm="1">
        <f t="array" ref="AB95">SUMIF('R&amp;M Assumptions'!$B:$B, $E95 'R&amp;M Assumptions'!J:J)</f>
        <v>0</v>
      </c>
      <c r="AC95" s="264" cm="1">
        <f t="array" ref="AC95">SUMIF('R&amp;M Assumptions'!$B:$B, $E95 'R&amp;M Assumptions'!K:K)</f>
        <v>0</v>
      </c>
      <c r="AD95" s="264" cm="1">
        <f t="array" ref="AD95">SUMIF('R&amp;M Assumptions'!$B:$B, $E95 'R&amp;M Assumptions'!L:L)</f>
        <v>0</v>
      </c>
      <c r="AE95" s="264" cm="1">
        <f t="array" ref="AE95">SUMIF('R&amp;M Assumptions'!$B:$B, $E95 'R&amp;M Assumptions'!M:M)</f>
        <v>0</v>
      </c>
      <c r="AF95" s="264" cm="1">
        <f t="array" ref="AF95">SUMIF('R&amp;M Assumptions'!$B:$B, $E95 'R&amp;M Assumptions'!N:N)</f>
        <v>0</v>
      </c>
      <c r="AG95" s="264" cm="1">
        <f t="array" ref="AG95">SUMIF('R&amp;M Assumptions'!$B:$B, $E95 'R&amp;M Assumptions'!O:O)</f>
        <v>0</v>
      </c>
      <c r="AH95" s="202" cm="1">
        <f t="array" ref="AH95">SUMIF('R&amp;M Assumptions'!$B:$B, $E95 'R&amp;M Assumptions'!P:P)</f>
        <v>0</v>
      </c>
      <c r="AI95" s="33"/>
    </row>
    <row r="96" spans="5:36" hidden="1" x14ac:dyDescent="0.3">
      <c r="E96" s="225" t="s">
        <v>231</v>
      </c>
      <c r="F96" s="11"/>
      <c r="G96" s="11"/>
      <c r="H96" s="268"/>
      <c r="J96" s="269"/>
      <c r="K96" s="8"/>
      <c r="L96" s="8"/>
      <c r="M96" s="8"/>
      <c r="N96" s="8"/>
      <c r="O96" s="8"/>
      <c r="P96" s="8"/>
      <c r="Q96" s="8"/>
      <c r="R96" s="8"/>
      <c r="S96" s="8"/>
      <c r="T96" s="8"/>
      <c r="U96" s="8"/>
      <c r="V96" s="233"/>
      <c r="W96" s="8"/>
      <c r="X96" s="8"/>
      <c r="Y96" s="8"/>
      <c r="Z96" s="8"/>
      <c r="AA96" s="8"/>
      <c r="AB96" s="8"/>
      <c r="AC96" s="8"/>
      <c r="AD96" s="8"/>
      <c r="AE96" s="8"/>
      <c r="AF96" s="8"/>
      <c r="AG96" s="8"/>
      <c r="AH96" s="233"/>
      <c r="AI96" s="33"/>
    </row>
    <row r="97" spans="5:36" hidden="1" x14ac:dyDescent="0.3">
      <c r="E97" s="225" t="s">
        <v>230</v>
      </c>
      <c r="F97" s="11"/>
      <c r="G97" s="11"/>
      <c r="H97" s="268"/>
      <c r="J97" s="269"/>
      <c r="K97" s="8"/>
      <c r="L97" s="8"/>
      <c r="M97" s="8"/>
      <c r="N97" s="8"/>
      <c r="O97" s="8"/>
      <c r="P97" s="8"/>
      <c r="Q97" s="8"/>
      <c r="R97" s="8"/>
      <c r="S97" s="8"/>
      <c r="T97" s="8"/>
      <c r="U97" s="8"/>
      <c r="V97" s="233"/>
      <c r="W97" s="8"/>
      <c r="X97" s="8"/>
      <c r="Y97" s="8"/>
      <c r="Z97" s="8"/>
      <c r="AA97" s="8"/>
      <c r="AB97" s="8"/>
      <c r="AC97" s="8"/>
      <c r="AD97" s="8"/>
      <c r="AE97" s="8"/>
      <c r="AF97" s="8"/>
      <c r="AG97" s="8"/>
      <c r="AH97" s="233"/>
      <c r="AI97" s="33"/>
    </row>
    <row r="98" spans="5:36" hidden="1" x14ac:dyDescent="0.3">
      <c r="E98" s="196" t="s">
        <v>172</v>
      </c>
      <c r="F98" s="288"/>
      <c r="G98" s="288"/>
      <c r="H98" s="239"/>
      <c r="I98" s="238"/>
      <c r="J98" s="240"/>
      <c r="K98" s="264"/>
      <c r="L98" s="264"/>
      <c r="M98" s="264"/>
      <c r="N98" s="264"/>
      <c r="O98" s="264"/>
      <c r="P98" s="264"/>
      <c r="Q98" s="264"/>
      <c r="R98" s="264"/>
      <c r="S98" s="264"/>
      <c r="T98" s="264"/>
      <c r="U98" s="264"/>
      <c r="V98" s="202"/>
      <c r="W98" s="264"/>
      <c r="X98" s="264"/>
      <c r="Y98" s="264"/>
      <c r="Z98" s="264"/>
      <c r="AA98" s="264"/>
      <c r="AB98" s="264"/>
      <c r="AC98" s="264"/>
      <c r="AD98" s="264"/>
      <c r="AE98" s="264"/>
      <c r="AF98" s="264"/>
      <c r="AG98" s="264"/>
      <c r="AH98" s="202"/>
      <c r="AI98" s="33"/>
    </row>
    <row r="99" spans="5:36" x14ac:dyDescent="0.3">
      <c r="E99" s="203" t="s">
        <v>187</v>
      </c>
      <c r="F99" s="204"/>
      <c r="G99" s="204"/>
      <c r="H99" s="205">
        <f>SUM(H90:H95)</f>
        <v>0</v>
      </c>
      <c r="I99" s="206">
        <f t="shared" ref="I99:AH99" si="20">SUM(I90:I95)</f>
        <v>0</v>
      </c>
      <c r="J99" s="207">
        <f t="shared" si="20"/>
        <v>0</v>
      </c>
      <c r="K99" s="285">
        <f t="shared" si="20"/>
        <v>0</v>
      </c>
      <c r="L99" s="285">
        <f t="shared" si="20"/>
        <v>0</v>
      </c>
      <c r="M99" s="285">
        <f t="shared" si="20"/>
        <v>0</v>
      </c>
      <c r="N99" s="285">
        <f t="shared" si="20"/>
        <v>0</v>
      </c>
      <c r="O99" s="285">
        <f t="shared" si="20"/>
        <v>0</v>
      </c>
      <c r="P99" s="285">
        <f t="shared" si="20"/>
        <v>0</v>
      </c>
      <c r="Q99" s="285">
        <f t="shared" si="20"/>
        <v>0</v>
      </c>
      <c r="R99" s="285">
        <f t="shared" si="20"/>
        <v>0</v>
      </c>
      <c r="S99" s="285">
        <f t="shared" si="20"/>
        <v>0</v>
      </c>
      <c r="T99" s="285">
        <f t="shared" si="20"/>
        <v>0</v>
      </c>
      <c r="U99" s="285">
        <f t="shared" si="20"/>
        <v>0</v>
      </c>
      <c r="V99" s="208">
        <f t="shared" si="20"/>
        <v>0</v>
      </c>
      <c r="W99" s="285">
        <f t="shared" si="20"/>
        <v>0</v>
      </c>
      <c r="X99" s="285">
        <f t="shared" si="20"/>
        <v>0</v>
      </c>
      <c r="Y99" s="285">
        <f t="shared" si="20"/>
        <v>0</v>
      </c>
      <c r="Z99" s="285">
        <f t="shared" si="20"/>
        <v>0</v>
      </c>
      <c r="AA99" s="285">
        <f t="shared" si="20"/>
        <v>0</v>
      </c>
      <c r="AB99" s="285">
        <f t="shared" si="20"/>
        <v>0</v>
      </c>
      <c r="AC99" s="285">
        <f t="shared" si="20"/>
        <v>0</v>
      </c>
      <c r="AD99" s="285">
        <f t="shared" si="20"/>
        <v>0</v>
      </c>
      <c r="AE99" s="285">
        <f t="shared" si="20"/>
        <v>0</v>
      </c>
      <c r="AF99" s="285">
        <f t="shared" si="20"/>
        <v>0</v>
      </c>
      <c r="AG99" s="285">
        <f t="shared" si="20"/>
        <v>0</v>
      </c>
      <c r="AH99" s="208">
        <f t="shared" si="20"/>
        <v>0</v>
      </c>
      <c r="AI99" s="33"/>
      <c r="AJ99" s="33"/>
    </row>
    <row r="100" spans="5:36" x14ac:dyDescent="0.3">
      <c r="E100" s="225"/>
      <c r="H100" s="268"/>
      <c r="J100" s="269"/>
      <c r="K100" s="8"/>
      <c r="L100" s="8"/>
      <c r="M100" s="8"/>
      <c r="N100" s="8"/>
      <c r="O100" s="8"/>
      <c r="P100" s="8"/>
      <c r="Q100" s="8"/>
      <c r="R100" s="8"/>
      <c r="S100" s="8"/>
      <c r="T100" s="8"/>
      <c r="U100" s="8"/>
      <c r="V100" s="241"/>
      <c r="W100" s="8"/>
      <c r="X100" s="8"/>
      <c r="Y100" s="8"/>
      <c r="Z100" s="8"/>
      <c r="AA100" s="8"/>
      <c r="AB100" s="8"/>
      <c r="AC100" s="8"/>
      <c r="AD100" s="8"/>
      <c r="AE100" s="8"/>
      <c r="AF100" s="8"/>
      <c r="AG100" s="8"/>
      <c r="AH100" s="241"/>
      <c r="AI100" s="33"/>
    </row>
    <row r="101" spans="5:36" x14ac:dyDescent="0.3">
      <c r="E101" s="213" t="s">
        <v>430</v>
      </c>
      <c r="F101" s="214"/>
      <c r="G101" s="214"/>
      <c r="H101" s="286"/>
      <c r="I101" s="287"/>
      <c r="J101" s="253"/>
      <c r="K101" s="254">
        <f>SUMIF('Utilities Assumptions'!$C$6:$C$22,$E101,'Utilities Assumptions'!D$6:D$22)</f>
        <v>0</v>
      </c>
      <c r="L101" s="254">
        <f>SUMIF('Utilities Assumptions'!$C$6:$C$22,$E101,'Utilities Assumptions'!E$6:E$22)</f>
        <v>0</v>
      </c>
      <c r="M101" s="254">
        <f>SUMIF('Utilities Assumptions'!$C$6:$C$22,$E101,'Utilities Assumptions'!F$6:F$22)</f>
        <v>0</v>
      </c>
      <c r="N101" s="254">
        <f>SUMIF('Utilities Assumptions'!$C$6:$C$22,$E101,'Utilities Assumptions'!G$6:G$22)</f>
        <v>0</v>
      </c>
      <c r="O101" s="254">
        <f>SUMIF('Utilities Assumptions'!$C$6:$C$22,$E101,'Utilities Assumptions'!H$6:H$22)</f>
        <v>0</v>
      </c>
      <c r="P101" s="254">
        <f>SUMIF('Utilities Assumptions'!$C$6:$C$22,$E101,'Utilities Assumptions'!I$6:I$22)</f>
        <v>0</v>
      </c>
      <c r="Q101" s="254">
        <f>SUMIF('Utilities Assumptions'!$C$6:$C$22,$E101,'Utilities Assumptions'!J$6:J$22)</f>
        <v>0</v>
      </c>
      <c r="R101" s="254">
        <f>SUMIF('Utilities Assumptions'!$C$6:$C$22,$E101,'Utilities Assumptions'!K$6:K$22)</f>
        <v>0</v>
      </c>
      <c r="S101" s="254">
        <f>SUMIF('Utilities Assumptions'!$C$6:$C$22,$E101,'Utilities Assumptions'!L$6:L$22)</f>
        <v>0</v>
      </c>
      <c r="T101" s="254">
        <f>SUMIF('Utilities Assumptions'!$C$6:$C$22,$E101,'Utilities Assumptions'!M$6:M$22)</f>
        <v>0</v>
      </c>
      <c r="U101" s="254">
        <f>SUMIF('Utilities Assumptions'!$C$6:$C$22,$E101,'Utilities Assumptions'!N$6:N$22)</f>
        <v>0</v>
      </c>
      <c r="V101" s="195">
        <f>SUMIF('Utilities Assumptions'!$C$6:$C$22,$E101,'Utilities Assumptions'!O$6:O$22)</f>
        <v>0</v>
      </c>
      <c r="W101" s="254">
        <v>2500</v>
      </c>
      <c r="X101" s="254">
        <v>2500</v>
      </c>
      <c r="Y101" s="254">
        <v>2500</v>
      </c>
      <c r="Z101" s="254">
        <v>2500</v>
      </c>
      <c r="AA101" s="254">
        <v>2500</v>
      </c>
      <c r="AB101" s="254">
        <v>2500</v>
      </c>
      <c r="AC101" s="254">
        <v>2500</v>
      </c>
      <c r="AD101" s="254">
        <v>2500</v>
      </c>
      <c r="AE101" s="254">
        <v>2500</v>
      </c>
      <c r="AF101" s="254">
        <v>2500</v>
      </c>
      <c r="AG101" s="254">
        <v>2500</v>
      </c>
      <c r="AH101" s="233">
        <v>2500</v>
      </c>
      <c r="AI101" s="33"/>
    </row>
    <row r="102" spans="5:36" x14ac:dyDescent="0.3">
      <c r="E102" s="225" t="s">
        <v>431</v>
      </c>
      <c r="H102" s="279"/>
      <c r="I102" s="280"/>
      <c r="J102" s="229"/>
      <c r="K102" s="8">
        <f>SUMIF('Utilities Assumptions'!$C$6:$C$22,$E102,'Utilities Assumptions'!D$6:D$22)</f>
        <v>0</v>
      </c>
      <c r="L102" s="8">
        <f>SUMIF('Utilities Assumptions'!$C$6:$C$22,$E102,'Utilities Assumptions'!E$6:E$22)</f>
        <v>0</v>
      </c>
      <c r="M102" s="8">
        <f>SUMIF('Utilities Assumptions'!$C$6:$C$22,$E102,'Utilities Assumptions'!F$6:F$22)</f>
        <v>0</v>
      </c>
      <c r="N102" s="8">
        <f>SUMIF('Utilities Assumptions'!$C$6:$C$22,$E102,'Utilities Assumptions'!G$6:G$22)</f>
        <v>0</v>
      </c>
      <c r="O102" s="8">
        <f>SUMIF('Utilities Assumptions'!$C$6:$C$22,$E102,'Utilities Assumptions'!H$6:H$22)</f>
        <v>0</v>
      </c>
      <c r="P102" s="8">
        <f>SUMIF('Utilities Assumptions'!$C$6:$C$22,$E102,'Utilities Assumptions'!I$6:I$22)</f>
        <v>0</v>
      </c>
      <c r="Q102" s="8">
        <f>SUMIF('Utilities Assumptions'!$C$6:$C$22,$E102,'Utilities Assumptions'!J$6:J$22)</f>
        <v>0</v>
      </c>
      <c r="R102" s="8">
        <f>SUMIF('Utilities Assumptions'!$C$6:$C$22,$E102,'Utilities Assumptions'!K$6:K$22)</f>
        <v>0</v>
      </c>
      <c r="S102" s="8">
        <f>SUMIF('Utilities Assumptions'!$C$6:$C$22,$E102,'Utilities Assumptions'!L$6:L$22)</f>
        <v>0</v>
      </c>
      <c r="T102" s="8">
        <f>SUMIF('Utilities Assumptions'!$C$6:$C$22,$E102,'Utilities Assumptions'!M$6:M$22)</f>
        <v>0</v>
      </c>
      <c r="U102" s="8">
        <f>SUMIF('Utilities Assumptions'!$C$6:$C$22,$E102,'Utilities Assumptions'!N$6:N$22)</f>
        <v>0</v>
      </c>
      <c r="V102" s="233">
        <f>SUMIF('Utilities Assumptions'!$C$6:$C$22,$E102,'Utilities Assumptions'!O$6:O$22)</f>
        <v>0</v>
      </c>
      <c r="W102" s="8">
        <v>837.0000000000008</v>
      </c>
      <c r="X102" s="8">
        <v>837.0000000000008</v>
      </c>
      <c r="Y102" s="8">
        <v>837.0000000000008</v>
      </c>
      <c r="Z102" s="8">
        <v>837.0000000000008</v>
      </c>
      <c r="AA102" s="8">
        <v>837.0000000000008</v>
      </c>
      <c r="AB102" s="8">
        <v>837.0000000000008</v>
      </c>
      <c r="AC102" s="8">
        <v>837.0000000000008</v>
      </c>
      <c r="AD102" s="8">
        <v>837.0000000000008</v>
      </c>
      <c r="AE102" s="8">
        <v>837.0000000000008</v>
      </c>
      <c r="AF102" s="8">
        <v>837.0000000000008</v>
      </c>
      <c r="AG102" s="8">
        <v>837.0000000000008</v>
      </c>
      <c r="AH102" s="233">
        <v>837.0000000000008</v>
      </c>
      <c r="AI102" s="33"/>
    </row>
    <row r="103" spans="5:36" x14ac:dyDescent="0.3">
      <c r="E103" s="225" t="s">
        <v>432</v>
      </c>
      <c r="H103" s="279"/>
      <c r="I103" s="280"/>
      <c r="J103" s="229"/>
      <c r="K103" s="8">
        <f>SUMIF('Utilities Assumptions'!$C$6:$C$22,$E103,'Utilities Assumptions'!D$6:D$22)</f>
        <v>0</v>
      </c>
      <c r="L103" s="8">
        <f>SUMIF('Utilities Assumptions'!$C$6:$C$22,$E103,'Utilities Assumptions'!E$6:E$22)</f>
        <v>0</v>
      </c>
      <c r="M103" s="8">
        <f>SUMIF('Utilities Assumptions'!$C$6:$C$22,$E103,'Utilities Assumptions'!F$6:F$22)</f>
        <v>0</v>
      </c>
      <c r="N103" s="8">
        <f>SUMIF('Utilities Assumptions'!$C$6:$C$22,$E103,'Utilities Assumptions'!G$6:G$22)</f>
        <v>0</v>
      </c>
      <c r="O103" s="8">
        <f>SUMIF('Utilities Assumptions'!$C$6:$C$22,$E103,'Utilities Assumptions'!H$6:H$22)</f>
        <v>0</v>
      </c>
      <c r="P103" s="8">
        <f>SUMIF('Utilities Assumptions'!$C$6:$C$22,$E103,'Utilities Assumptions'!I$6:I$22)</f>
        <v>0</v>
      </c>
      <c r="Q103" s="8">
        <f>SUMIF('Utilities Assumptions'!$C$6:$C$22,$E103,'Utilities Assumptions'!J$6:J$22)</f>
        <v>0</v>
      </c>
      <c r="R103" s="8">
        <f>SUMIF('Utilities Assumptions'!$C$6:$C$22,$E103,'Utilities Assumptions'!K$6:K$22)</f>
        <v>0</v>
      </c>
      <c r="S103" s="8">
        <f>SUMIF('Utilities Assumptions'!$C$6:$C$22,$E103,'Utilities Assumptions'!L$6:L$22)</f>
        <v>0</v>
      </c>
      <c r="T103" s="8">
        <f>SUMIF('Utilities Assumptions'!$C$6:$C$22,$E103,'Utilities Assumptions'!M$6:M$22)</f>
        <v>0</v>
      </c>
      <c r="U103" s="8">
        <f>SUMIF('Utilities Assumptions'!$C$6:$C$22,$E103,'Utilities Assumptions'!N$6:N$22)</f>
        <v>0</v>
      </c>
      <c r="V103" s="233">
        <f>SUMIF('Utilities Assumptions'!$C$6:$C$22,$E103,'Utilities Assumptions'!O$6:O$22)</f>
        <v>0</v>
      </c>
      <c r="W103" s="8">
        <v>300</v>
      </c>
      <c r="X103" s="8">
        <v>300</v>
      </c>
      <c r="Y103" s="8">
        <v>300</v>
      </c>
      <c r="Z103" s="8">
        <v>300</v>
      </c>
      <c r="AA103" s="8">
        <v>300</v>
      </c>
      <c r="AB103" s="8">
        <v>300</v>
      </c>
      <c r="AC103" s="8">
        <v>300</v>
      </c>
      <c r="AD103" s="8">
        <v>300</v>
      </c>
      <c r="AE103" s="8">
        <v>300</v>
      </c>
      <c r="AF103" s="8">
        <v>300</v>
      </c>
      <c r="AG103" s="8">
        <v>300</v>
      </c>
      <c r="AH103" s="233">
        <v>300</v>
      </c>
      <c r="AI103" s="33"/>
    </row>
    <row r="104" spans="5:36" x14ac:dyDescent="0.3">
      <c r="E104" s="225"/>
      <c r="H104" s="279"/>
      <c r="I104" s="280"/>
      <c r="J104" s="229"/>
      <c r="K104" s="8">
        <f>SUMIF('Utilities Assumptions'!$C$6:$C$22,$E104,'Utilities Assumptions'!D$6:D$22)</f>
        <v>0</v>
      </c>
      <c r="L104" s="8">
        <f>SUMIF('Utilities Assumptions'!$C$6:$C$22,$E104,'Utilities Assumptions'!E$6:E$22)</f>
        <v>0</v>
      </c>
      <c r="M104" s="8">
        <f>SUMIF('Utilities Assumptions'!$C$6:$C$22,$E104,'Utilities Assumptions'!F$6:F$22)</f>
        <v>0</v>
      </c>
      <c r="N104" s="8">
        <f>SUMIF('Utilities Assumptions'!$C$6:$C$22,$E104,'Utilities Assumptions'!G$6:G$22)</f>
        <v>0</v>
      </c>
      <c r="O104" s="8">
        <f>SUMIF('Utilities Assumptions'!$C$6:$C$22,$E104,'Utilities Assumptions'!H$6:H$22)</f>
        <v>0</v>
      </c>
      <c r="P104" s="8">
        <f>SUMIF('Utilities Assumptions'!$C$6:$C$22,$E104,'Utilities Assumptions'!I$6:I$22)</f>
        <v>0</v>
      </c>
      <c r="Q104" s="8">
        <f>SUMIF('Utilities Assumptions'!$C$6:$C$22,$E104,'Utilities Assumptions'!J$6:J$22)</f>
        <v>0</v>
      </c>
      <c r="R104" s="8">
        <f>SUMIF('Utilities Assumptions'!$C$6:$C$22,$E104,'Utilities Assumptions'!K$6:K$22)</f>
        <v>0</v>
      </c>
      <c r="S104" s="8">
        <f>SUMIF('Utilities Assumptions'!$C$6:$C$22,$E104,'Utilities Assumptions'!L$6:L$22)</f>
        <v>0</v>
      </c>
      <c r="T104" s="8">
        <f>SUMIF('Utilities Assumptions'!$C$6:$C$22,$E104,'Utilities Assumptions'!M$6:M$22)</f>
        <v>0</v>
      </c>
      <c r="U104" s="8">
        <f>SUMIF('Utilities Assumptions'!$C$6:$C$22,$E104,'Utilities Assumptions'!N$6:N$22)</f>
        <v>0</v>
      </c>
      <c r="V104" s="233">
        <f>SUMIF('Utilities Assumptions'!$C$6:$C$22,$E104,'Utilities Assumptions'!O$6:O$22)</f>
        <v>0</v>
      </c>
      <c r="W104" s="8"/>
      <c r="X104" s="8"/>
      <c r="Y104" s="8"/>
      <c r="Z104" s="8"/>
      <c r="AA104" s="8"/>
      <c r="AB104" s="8"/>
      <c r="AC104" s="8"/>
      <c r="AD104" s="8"/>
      <c r="AE104" s="8"/>
      <c r="AF104" s="8"/>
      <c r="AG104" s="8"/>
      <c r="AH104" s="233"/>
      <c r="AI104" s="33"/>
    </row>
    <row r="105" spans="5:36" x14ac:dyDescent="0.3">
      <c r="E105" s="225" t="s">
        <v>174</v>
      </c>
      <c r="H105" s="279"/>
      <c r="I105" s="280"/>
      <c r="J105" s="229"/>
      <c r="K105" s="8">
        <f>SUMIF('Utilities Assumptions'!$C$6:$C$22,$E105,'Utilities Assumptions'!D$6:D$22)</f>
        <v>0</v>
      </c>
      <c r="L105" s="8">
        <f>SUMIF('Utilities Assumptions'!$C$6:$C$22,$E105,'Utilities Assumptions'!E$6:E$22)</f>
        <v>0</v>
      </c>
      <c r="M105" s="8">
        <f>SUMIF('Utilities Assumptions'!$C$6:$C$22,$E105,'Utilities Assumptions'!F$6:F$22)</f>
        <v>0</v>
      </c>
      <c r="N105" s="8">
        <f>SUMIF('Utilities Assumptions'!$C$6:$C$22,$E105,'Utilities Assumptions'!G$6:G$22)</f>
        <v>0</v>
      </c>
      <c r="O105" s="8">
        <f>SUMIF('Utilities Assumptions'!$C$6:$C$22,$E105,'Utilities Assumptions'!H$6:H$22)</f>
        <v>0</v>
      </c>
      <c r="P105" s="8">
        <f>SUMIF('Utilities Assumptions'!$C$6:$C$22,$E105,'Utilities Assumptions'!I$6:I$22)</f>
        <v>0</v>
      </c>
      <c r="Q105" s="8">
        <f>SUMIF('Utilities Assumptions'!$C$6:$C$22,$E105,'Utilities Assumptions'!J$6:J$22)</f>
        <v>0</v>
      </c>
      <c r="R105" s="8">
        <f>SUMIF('Utilities Assumptions'!$C$6:$C$22,$E105,'Utilities Assumptions'!K$6:K$22)</f>
        <v>0</v>
      </c>
      <c r="S105" s="8">
        <f>SUMIF('Utilities Assumptions'!$C$6:$C$22,$E105,'Utilities Assumptions'!L$6:L$22)</f>
        <v>0</v>
      </c>
      <c r="T105" s="8">
        <f>SUMIF('Utilities Assumptions'!$C$6:$C$22,$E105,'Utilities Assumptions'!M$6:M$22)</f>
        <v>0</v>
      </c>
      <c r="U105" s="8">
        <f>SUMIF('Utilities Assumptions'!$C$6:$C$22,$E105,'Utilities Assumptions'!N$6:N$22)</f>
        <v>0</v>
      </c>
      <c r="V105" s="233">
        <f>SUMIF('Utilities Assumptions'!$C$6:$C$22,$E105,'Utilities Assumptions'!O$6:O$22)</f>
        <v>0</v>
      </c>
      <c r="W105" s="8">
        <v>12000</v>
      </c>
      <c r="X105" s="8">
        <v>12000</v>
      </c>
      <c r="Y105" s="8">
        <v>12000</v>
      </c>
      <c r="Z105" s="8">
        <v>12000</v>
      </c>
      <c r="AA105" s="8">
        <v>12000</v>
      </c>
      <c r="AB105" s="8">
        <v>12000</v>
      </c>
      <c r="AC105" s="8">
        <v>12000</v>
      </c>
      <c r="AD105" s="8">
        <v>12000</v>
      </c>
      <c r="AE105" s="8">
        <v>12000</v>
      </c>
      <c r="AF105" s="8">
        <v>12000</v>
      </c>
      <c r="AG105" s="8">
        <v>12000</v>
      </c>
      <c r="AH105" s="233">
        <v>12000</v>
      </c>
      <c r="AI105" s="33"/>
    </row>
    <row r="106" spans="5:36" x14ac:dyDescent="0.3">
      <c r="E106" s="225" t="s">
        <v>60</v>
      </c>
      <c r="H106" s="279"/>
      <c r="I106" s="280"/>
      <c r="J106" s="229"/>
      <c r="K106" s="8">
        <f>SUMIF('Utilities Assumptions'!$C$6:$C$22,$E106,'Utilities Assumptions'!D$6:D$22)</f>
        <v>0</v>
      </c>
      <c r="L106" s="8">
        <f>SUMIF('Utilities Assumptions'!$C$6:$C$22,$E106,'Utilities Assumptions'!E$6:E$22)</f>
        <v>0</v>
      </c>
      <c r="M106" s="8">
        <f>SUMIF('Utilities Assumptions'!$C$6:$C$22,$E106,'Utilities Assumptions'!F$6:F$22)</f>
        <v>0</v>
      </c>
      <c r="N106" s="8">
        <f>SUMIF('Utilities Assumptions'!$C$6:$C$22,$E106,'Utilities Assumptions'!G$6:G$22)</f>
        <v>0</v>
      </c>
      <c r="O106" s="8">
        <f>SUMIF('Utilities Assumptions'!$C$6:$C$22,$E106,'Utilities Assumptions'!H$6:H$22)</f>
        <v>0</v>
      </c>
      <c r="P106" s="8">
        <f>SUMIF('Utilities Assumptions'!$C$6:$C$22,$E106,'Utilities Assumptions'!I$6:I$22)</f>
        <v>0</v>
      </c>
      <c r="Q106" s="8">
        <f>SUMIF('Utilities Assumptions'!$C$6:$C$22,$E106,'Utilities Assumptions'!J$6:J$22)</f>
        <v>0</v>
      </c>
      <c r="R106" s="8">
        <f>SUMIF('Utilities Assumptions'!$C$6:$C$22,$E106,'Utilities Assumptions'!K$6:K$22)</f>
        <v>0</v>
      </c>
      <c r="S106" s="8">
        <f>SUMIF('Utilities Assumptions'!$C$6:$C$22,$E106,'Utilities Assumptions'!L$6:L$22)</f>
        <v>0</v>
      </c>
      <c r="T106" s="8">
        <f>SUMIF('Utilities Assumptions'!$C$6:$C$22,$E106,'Utilities Assumptions'!M$6:M$22)</f>
        <v>0</v>
      </c>
      <c r="U106" s="8">
        <f>SUMIF('Utilities Assumptions'!$C$6:$C$22,$E106,'Utilities Assumptions'!N$6:N$22)</f>
        <v>0</v>
      </c>
      <c r="V106" s="289">
        <f>SUMIF('Utilities Assumptions'!$C$6:$C$22,$E106,'Utilities Assumptions'!O$6:O$22)</f>
        <v>0</v>
      </c>
      <c r="W106" s="8">
        <v>5144</v>
      </c>
      <c r="X106" s="8">
        <v>5144</v>
      </c>
      <c r="Y106" s="8">
        <v>5144</v>
      </c>
      <c r="Z106" s="8">
        <v>5144</v>
      </c>
      <c r="AA106" s="8">
        <v>5144</v>
      </c>
      <c r="AB106" s="8">
        <v>5144</v>
      </c>
      <c r="AC106" s="8">
        <v>5144</v>
      </c>
      <c r="AD106" s="8">
        <v>5144</v>
      </c>
      <c r="AE106" s="8">
        <v>5144</v>
      </c>
      <c r="AF106" s="8">
        <v>5144</v>
      </c>
      <c r="AG106" s="8">
        <v>5144</v>
      </c>
      <c r="AH106" s="289">
        <v>5144</v>
      </c>
      <c r="AI106" s="33"/>
    </row>
    <row r="107" spans="5:36" x14ac:dyDescent="0.3">
      <c r="E107" s="196" t="s">
        <v>177</v>
      </c>
      <c r="F107" s="238"/>
      <c r="G107" s="238"/>
      <c r="H107" s="281"/>
      <c r="I107" s="282"/>
      <c r="J107" s="234"/>
      <c r="K107" s="8">
        <f>SUMIF('Utilities Assumptions'!$C$6:$C$22,$E107,'Utilities Assumptions'!D$6:D$22)</f>
        <v>0</v>
      </c>
      <c r="L107" s="8">
        <f>SUMIF('Utilities Assumptions'!$C$6:$C$22,$E107,'Utilities Assumptions'!E$6:E$22)</f>
        <v>0</v>
      </c>
      <c r="M107" s="8">
        <f>SUMIF('Utilities Assumptions'!$C$6:$C$22,$E107,'Utilities Assumptions'!F$6:F$22)</f>
        <v>0</v>
      </c>
      <c r="N107" s="8">
        <f>SUMIF('Utilities Assumptions'!$C$6:$C$22,$E107,'Utilities Assumptions'!G$6:G$22)</f>
        <v>0</v>
      </c>
      <c r="O107" s="8">
        <f>SUMIF('Utilities Assumptions'!$C$6:$C$22,$E107,'Utilities Assumptions'!H$6:H$22)</f>
        <v>0</v>
      </c>
      <c r="P107" s="8">
        <f>SUMIF('Utilities Assumptions'!$C$6:$C$22,$E107,'Utilities Assumptions'!I$6:I$22)</f>
        <v>0</v>
      </c>
      <c r="Q107" s="8">
        <f>SUMIF('Utilities Assumptions'!$C$6:$C$22,$E107,'Utilities Assumptions'!J$6:J$22)</f>
        <v>0</v>
      </c>
      <c r="R107" s="8">
        <f>SUMIF('Utilities Assumptions'!$C$6:$C$22,$E107,'Utilities Assumptions'!K$6:K$22)</f>
        <v>0</v>
      </c>
      <c r="S107" s="8">
        <f>SUMIF('Utilities Assumptions'!$C$6:$C$22,$E107,'Utilities Assumptions'!L$6:L$22)</f>
        <v>0</v>
      </c>
      <c r="T107" s="8">
        <f>SUMIF('Utilities Assumptions'!$C$6:$C$22,$E107,'Utilities Assumptions'!M$6:M$22)</f>
        <v>0</v>
      </c>
      <c r="U107" s="8">
        <f>SUMIF('Utilities Assumptions'!$C$6:$C$22,$E107,'Utilities Assumptions'!N$6:N$22)</f>
        <v>0</v>
      </c>
      <c r="V107" s="289">
        <f>SUMIF('Utilities Assumptions'!$C$6:$C$22,$E107,'Utilities Assumptions'!O$6:O$22)</f>
        <v>0</v>
      </c>
      <c r="W107" s="8">
        <v>1113.5</v>
      </c>
      <c r="X107" s="8">
        <v>1113.5</v>
      </c>
      <c r="Y107" s="8">
        <v>1113.5</v>
      </c>
      <c r="Z107" s="8">
        <v>1113.5</v>
      </c>
      <c r="AA107" s="8">
        <v>1113.5</v>
      </c>
      <c r="AB107" s="8">
        <v>1113.5</v>
      </c>
      <c r="AC107" s="8">
        <v>1113.5</v>
      </c>
      <c r="AD107" s="8">
        <v>1113.5</v>
      </c>
      <c r="AE107" s="8">
        <v>1113.5</v>
      </c>
      <c r="AF107" s="8">
        <v>1113.5</v>
      </c>
      <c r="AG107" s="8">
        <v>1113.5</v>
      </c>
      <c r="AH107" s="289">
        <v>1113.5</v>
      </c>
      <c r="AI107" s="33"/>
    </row>
    <row r="108" spans="5:36" x14ac:dyDescent="0.3">
      <c r="E108" s="203" t="s">
        <v>188</v>
      </c>
      <c r="F108" s="204"/>
      <c r="G108" s="204"/>
      <c r="H108" s="205">
        <f>SUM(H101:H107)</f>
        <v>0</v>
      </c>
      <c r="I108" s="206">
        <f t="shared" ref="I108:AH108" si="21">SUM(I101:I107)</f>
        <v>0</v>
      </c>
      <c r="J108" s="207">
        <f t="shared" si="21"/>
        <v>0</v>
      </c>
      <c r="K108" s="206">
        <f t="shared" si="21"/>
        <v>0</v>
      </c>
      <c r="L108" s="206">
        <f t="shared" si="21"/>
        <v>0</v>
      </c>
      <c r="M108" s="206">
        <f t="shared" si="21"/>
        <v>0</v>
      </c>
      <c r="N108" s="206">
        <f t="shared" si="21"/>
        <v>0</v>
      </c>
      <c r="O108" s="206">
        <f t="shared" si="21"/>
        <v>0</v>
      </c>
      <c r="P108" s="206">
        <f t="shared" si="21"/>
        <v>0</v>
      </c>
      <c r="Q108" s="206">
        <f t="shared" si="21"/>
        <v>0</v>
      </c>
      <c r="R108" s="206">
        <f t="shared" si="21"/>
        <v>0</v>
      </c>
      <c r="S108" s="206">
        <f t="shared" si="21"/>
        <v>0</v>
      </c>
      <c r="T108" s="206">
        <f t="shared" si="21"/>
        <v>0</v>
      </c>
      <c r="U108" s="206">
        <f t="shared" si="21"/>
        <v>0</v>
      </c>
      <c r="V108" s="208">
        <f t="shared" si="21"/>
        <v>0</v>
      </c>
      <c r="W108" s="206">
        <f t="shared" si="21"/>
        <v>21894.5</v>
      </c>
      <c r="X108" s="206">
        <f t="shared" si="21"/>
        <v>21894.5</v>
      </c>
      <c r="Y108" s="206">
        <f t="shared" si="21"/>
        <v>21894.5</v>
      </c>
      <c r="Z108" s="206">
        <f t="shared" si="21"/>
        <v>21894.5</v>
      </c>
      <c r="AA108" s="206">
        <f t="shared" si="21"/>
        <v>21894.5</v>
      </c>
      <c r="AB108" s="206">
        <f t="shared" si="21"/>
        <v>21894.5</v>
      </c>
      <c r="AC108" s="206">
        <f t="shared" si="21"/>
        <v>21894.5</v>
      </c>
      <c r="AD108" s="206">
        <f t="shared" si="21"/>
        <v>21894.5</v>
      </c>
      <c r="AE108" s="206">
        <f t="shared" si="21"/>
        <v>21894.5</v>
      </c>
      <c r="AF108" s="206">
        <f t="shared" si="21"/>
        <v>21894.5</v>
      </c>
      <c r="AG108" s="206">
        <f t="shared" si="21"/>
        <v>21894.5</v>
      </c>
      <c r="AH108" s="208">
        <f t="shared" si="21"/>
        <v>21894.5</v>
      </c>
      <c r="AI108" s="33"/>
      <c r="AJ108" s="33"/>
    </row>
    <row r="109" spans="5:36" x14ac:dyDescent="0.3">
      <c r="E109" s="225"/>
      <c r="H109" s="268"/>
      <c r="J109" s="269"/>
      <c r="K109" s="33"/>
      <c r="L109" s="33"/>
      <c r="M109" s="33"/>
      <c r="N109" s="33"/>
      <c r="O109" s="33"/>
      <c r="P109" s="33"/>
      <c r="Q109" s="33"/>
      <c r="R109" s="33"/>
      <c r="S109" s="33"/>
      <c r="T109" s="33"/>
      <c r="U109" s="33"/>
      <c r="V109" s="241"/>
      <c r="W109" s="33"/>
      <c r="X109" s="33"/>
      <c r="Y109" s="33"/>
      <c r="Z109" s="33"/>
      <c r="AA109" s="33"/>
      <c r="AB109" s="33"/>
      <c r="AC109" s="33"/>
      <c r="AD109" s="33"/>
      <c r="AE109" s="33"/>
      <c r="AF109" s="33"/>
      <c r="AG109" s="33"/>
      <c r="AH109" s="241"/>
      <c r="AI109" s="33"/>
    </row>
    <row r="110" spans="5:36" x14ac:dyDescent="0.3">
      <c r="E110" s="203" t="s">
        <v>433</v>
      </c>
      <c r="F110" s="204"/>
      <c r="G110" s="204"/>
      <c r="H110" s="205">
        <f>SUM(H69,H81,H88,H99,H108)</f>
        <v>0</v>
      </c>
      <c r="I110" s="206">
        <f t="shared" ref="I110:AH110" si="22">SUM(I69,I81,I88,I99,I108)</f>
        <v>0</v>
      </c>
      <c r="J110" s="207">
        <f t="shared" si="22"/>
        <v>0</v>
      </c>
      <c r="K110" s="206">
        <f t="shared" si="22"/>
        <v>31561.666666666668</v>
      </c>
      <c r="L110" s="206">
        <f t="shared" si="22"/>
        <v>11350</v>
      </c>
      <c r="M110" s="206" t="e">
        <f t="shared" si="22"/>
        <v>#REF!</v>
      </c>
      <c r="N110" s="206" t="e">
        <f t="shared" si="22"/>
        <v>#REF!</v>
      </c>
      <c r="O110" s="206" t="e">
        <f t="shared" si="22"/>
        <v>#REF!</v>
      </c>
      <c r="P110" s="206" t="e">
        <f t="shared" si="22"/>
        <v>#REF!</v>
      </c>
      <c r="Q110" s="206" t="e">
        <f t="shared" si="22"/>
        <v>#REF!</v>
      </c>
      <c r="R110" s="206" t="e">
        <f t="shared" si="22"/>
        <v>#REF!</v>
      </c>
      <c r="S110" s="206" t="e">
        <f t="shared" si="22"/>
        <v>#REF!</v>
      </c>
      <c r="T110" s="206" t="e">
        <f t="shared" si="22"/>
        <v>#REF!</v>
      </c>
      <c r="U110" s="206" t="e">
        <f t="shared" si="22"/>
        <v>#REF!</v>
      </c>
      <c r="V110" s="208" t="e">
        <f t="shared" si="22"/>
        <v>#REF!</v>
      </c>
      <c r="W110" s="206" t="e">
        <f t="shared" si="22"/>
        <v>#REF!</v>
      </c>
      <c r="X110" s="206" t="e">
        <f t="shared" si="22"/>
        <v>#REF!</v>
      </c>
      <c r="Y110" s="206" t="e">
        <f t="shared" si="22"/>
        <v>#REF!</v>
      </c>
      <c r="Z110" s="206" t="e">
        <f t="shared" si="22"/>
        <v>#REF!</v>
      </c>
      <c r="AA110" s="206" t="e">
        <f t="shared" si="22"/>
        <v>#REF!</v>
      </c>
      <c r="AB110" s="206" t="e">
        <f t="shared" si="22"/>
        <v>#REF!</v>
      </c>
      <c r="AC110" s="206" t="e">
        <f t="shared" si="22"/>
        <v>#REF!</v>
      </c>
      <c r="AD110" s="206" t="e">
        <f t="shared" si="22"/>
        <v>#REF!</v>
      </c>
      <c r="AE110" s="206" t="e">
        <f t="shared" si="22"/>
        <v>#REF!</v>
      </c>
      <c r="AF110" s="206" t="e">
        <f t="shared" si="22"/>
        <v>#REF!</v>
      </c>
      <c r="AG110" s="206" t="e">
        <f t="shared" si="22"/>
        <v>#REF!</v>
      </c>
      <c r="AH110" s="208" t="e">
        <f t="shared" si="22"/>
        <v>#REF!</v>
      </c>
      <c r="AI110" s="33"/>
    </row>
    <row r="111" spans="5:36" x14ac:dyDescent="0.3">
      <c r="E111" s="225"/>
      <c r="H111" s="268"/>
      <c r="J111" s="269"/>
      <c r="K111" s="33"/>
      <c r="L111" s="33"/>
      <c r="M111" s="33"/>
      <c r="N111" s="33"/>
      <c r="O111" s="33"/>
      <c r="P111" s="33"/>
      <c r="Q111" s="33"/>
      <c r="R111" s="33"/>
      <c r="S111" s="33"/>
      <c r="T111" s="33"/>
      <c r="U111" s="33"/>
      <c r="V111" s="241"/>
      <c r="W111" s="33"/>
      <c r="X111" s="33"/>
      <c r="Y111" s="33"/>
      <c r="Z111" s="33"/>
      <c r="AA111" s="33"/>
      <c r="AB111" s="33"/>
      <c r="AC111" s="33"/>
      <c r="AD111" s="33"/>
      <c r="AE111" s="33"/>
      <c r="AF111" s="33"/>
      <c r="AG111" s="33"/>
      <c r="AH111" s="241"/>
      <c r="AI111" s="33"/>
    </row>
    <row r="112" spans="5:36" x14ac:dyDescent="0.3">
      <c r="E112" s="209" t="s">
        <v>194</v>
      </c>
      <c r="F112" s="290">
        <v>2.75E-2</v>
      </c>
      <c r="G112" s="494">
        <v>12000</v>
      </c>
      <c r="H112" s="265">
        <f t="shared" ref="H112:AH112" si="23">+IF(($F$112*H58)&gt;$G$112,$F$112*H58,$G$112)</f>
        <v>12000</v>
      </c>
      <c r="I112" s="266">
        <f t="shared" si="23"/>
        <v>12000</v>
      </c>
      <c r="J112" s="267">
        <f t="shared" si="23"/>
        <v>12000</v>
      </c>
      <c r="K112" s="206" t="e">
        <f t="shared" si="23"/>
        <v>#DIV/0!</v>
      </c>
      <c r="L112" s="206" t="e">
        <f t="shared" si="23"/>
        <v>#DIV/0!</v>
      </c>
      <c r="M112" s="206" t="e">
        <f t="shared" si="23"/>
        <v>#DIV/0!</v>
      </c>
      <c r="N112" s="206" t="e">
        <f t="shared" si="23"/>
        <v>#DIV/0!</v>
      </c>
      <c r="O112" s="206" t="e">
        <f t="shared" si="23"/>
        <v>#DIV/0!</v>
      </c>
      <c r="P112" s="206" t="e">
        <f t="shared" si="23"/>
        <v>#DIV/0!</v>
      </c>
      <c r="Q112" s="206" t="e">
        <f t="shared" si="23"/>
        <v>#DIV/0!</v>
      </c>
      <c r="R112" s="206" t="e">
        <f t="shared" si="23"/>
        <v>#DIV/0!</v>
      </c>
      <c r="S112" s="206" t="e">
        <f t="shared" si="23"/>
        <v>#DIV/0!</v>
      </c>
      <c r="T112" s="206" t="e">
        <f t="shared" si="23"/>
        <v>#DIV/0!</v>
      </c>
      <c r="U112" s="206" t="e">
        <f t="shared" si="23"/>
        <v>#DIV/0!</v>
      </c>
      <c r="V112" s="208" t="e">
        <f t="shared" si="23"/>
        <v>#DIV/0!</v>
      </c>
      <c r="W112" s="206" t="e">
        <f t="shared" si="23"/>
        <v>#DIV/0!</v>
      </c>
      <c r="X112" s="206" t="e">
        <f t="shared" si="23"/>
        <v>#DIV/0!</v>
      </c>
      <c r="Y112" s="206" t="e">
        <f t="shared" si="23"/>
        <v>#DIV/0!</v>
      </c>
      <c r="Z112" s="206" t="e">
        <f t="shared" si="23"/>
        <v>#DIV/0!</v>
      </c>
      <c r="AA112" s="206" t="e">
        <f t="shared" si="23"/>
        <v>#DIV/0!</v>
      </c>
      <c r="AB112" s="206" t="e">
        <f t="shared" si="23"/>
        <v>#DIV/0!</v>
      </c>
      <c r="AC112" s="206" t="e">
        <f t="shared" si="23"/>
        <v>#DIV/0!</v>
      </c>
      <c r="AD112" s="206" t="e">
        <f t="shared" si="23"/>
        <v>#DIV/0!</v>
      </c>
      <c r="AE112" s="206" t="e">
        <f t="shared" si="23"/>
        <v>#DIV/0!</v>
      </c>
      <c r="AF112" s="206" t="e">
        <f t="shared" si="23"/>
        <v>#DIV/0!</v>
      </c>
      <c r="AG112" s="206" t="e">
        <f t="shared" si="23"/>
        <v>#DIV/0!</v>
      </c>
      <c r="AH112" s="208" t="e">
        <f t="shared" si="23"/>
        <v>#DIV/0!</v>
      </c>
      <c r="AI112" s="33"/>
    </row>
    <row r="113" spans="5:45" x14ac:dyDescent="0.3">
      <c r="E113" s="203" t="s">
        <v>189</v>
      </c>
      <c r="F113" s="204"/>
      <c r="G113" s="204"/>
      <c r="H113" s="205">
        <f>H112</f>
        <v>12000</v>
      </c>
      <c r="I113" s="206">
        <f t="shared" ref="I113:AH113" si="24">I112</f>
        <v>12000</v>
      </c>
      <c r="J113" s="207">
        <f t="shared" si="24"/>
        <v>12000</v>
      </c>
      <c r="K113" s="206" t="e">
        <f t="shared" si="24"/>
        <v>#DIV/0!</v>
      </c>
      <c r="L113" s="206" t="e">
        <f t="shared" si="24"/>
        <v>#DIV/0!</v>
      </c>
      <c r="M113" s="206" t="e">
        <f t="shared" si="24"/>
        <v>#DIV/0!</v>
      </c>
      <c r="N113" s="206" t="e">
        <f t="shared" si="24"/>
        <v>#DIV/0!</v>
      </c>
      <c r="O113" s="206" t="e">
        <f t="shared" si="24"/>
        <v>#DIV/0!</v>
      </c>
      <c r="P113" s="206" t="e">
        <f t="shared" si="24"/>
        <v>#DIV/0!</v>
      </c>
      <c r="Q113" s="206" t="e">
        <f t="shared" si="24"/>
        <v>#DIV/0!</v>
      </c>
      <c r="R113" s="206" t="e">
        <f t="shared" si="24"/>
        <v>#DIV/0!</v>
      </c>
      <c r="S113" s="206" t="e">
        <f t="shared" si="24"/>
        <v>#DIV/0!</v>
      </c>
      <c r="T113" s="206" t="e">
        <f t="shared" si="24"/>
        <v>#DIV/0!</v>
      </c>
      <c r="U113" s="206" t="e">
        <f t="shared" si="24"/>
        <v>#DIV/0!</v>
      </c>
      <c r="V113" s="208" t="e">
        <f t="shared" si="24"/>
        <v>#DIV/0!</v>
      </c>
      <c r="W113" s="206" t="e">
        <f t="shared" si="24"/>
        <v>#DIV/0!</v>
      </c>
      <c r="X113" s="206" t="e">
        <f t="shared" si="24"/>
        <v>#DIV/0!</v>
      </c>
      <c r="Y113" s="206" t="e">
        <f t="shared" si="24"/>
        <v>#DIV/0!</v>
      </c>
      <c r="Z113" s="206" t="e">
        <f t="shared" si="24"/>
        <v>#DIV/0!</v>
      </c>
      <c r="AA113" s="206" t="e">
        <f t="shared" si="24"/>
        <v>#DIV/0!</v>
      </c>
      <c r="AB113" s="206" t="e">
        <f t="shared" si="24"/>
        <v>#DIV/0!</v>
      </c>
      <c r="AC113" s="206" t="e">
        <f t="shared" si="24"/>
        <v>#DIV/0!</v>
      </c>
      <c r="AD113" s="206" t="e">
        <f t="shared" si="24"/>
        <v>#DIV/0!</v>
      </c>
      <c r="AE113" s="206" t="e">
        <f t="shared" si="24"/>
        <v>#DIV/0!</v>
      </c>
      <c r="AF113" s="206" t="e">
        <f t="shared" si="24"/>
        <v>#DIV/0!</v>
      </c>
      <c r="AG113" s="206" t="e">
        <f t="shared" si="24"/>
        <v>#DIV/0!</v>
      </c>
      <c r="AH113" s="208" t="e">
        <f t="shared" si="24"/>
        <v>#DIV/0!</v>
      </c>
      <c r="AI113" s="33"/>
    </row>
    <row r="114" spans="5:45" x14ac:dyDescent="0.3">
      <c r="E114" s="292"/>
      <c r="F114" s="162"/>
      <c r="G114" s="162"/>
      <c r="H114" s="293"/>
      <c r="I114" s="162"/>
      <c r="J114" s="269"/>
      <c r="K114" s="33"/>
      <c r="L114" s="33"/>
      <c r="M114" s="33"/>
      <c r="N114" s="33"/>
      <c r="O114" s="33"/>
      <c r="P114" s="33"/>
      <c r="Q114" s="33"/>
      <c r="R114" s="33"/>
      <c r="S114" s="33"/>
      <c r="T114" s="33"/>
      <c r="U114" s="33"/>
      <c r="V114" s="241"/>
      <c r="W114" s="33"/>
      <c r="X114" s="33"/>
      <c r="Y114" s="33"/>
      <c r="Z114" s="33"/>
      <c r="AA114" s="33"/>
      <c r="AB114" s="33"/>
      <c r="AC114" s="33"/>
      <c r="AD114" s="33"/>
      <c r="AE114" s="33"/>
      <c r="AF114" s="33"/>
      <c r="AG114" s="33"/>
      <c r="AH114" s="241"/>
      <c r="AI114" s="33"/>
    </row>
    <row r="115" spans="5:45" x14ac:dyDescent="0.3">
      <c r="E115" s="209" t="s">
        <v>179</v>
      </c>
      <c r="F115" s="291"/>
      <c r="G115" s="291"/>
      <c r="H115" s="294">
        <f>$G$115/12</f>
        <v>0</v>
      </c>
      <c r="I115" s="295">
        <f t="shared" ref="I115:AH115" si="25">$G$115/12</f>
        <v>0</v>
      </c>
      <c r="J115" s="267">
        <f t="shared" si="25"/>
        <v>0</v>
      </c>
      <c r="K115" s="206">
        <f t="shared" si="25"/>
        <v>0</v>
      </c>
      <c r="L115" s="206">
        <f t="shared" si="25"/>
        <v>0</v>
      </c>
      <c r="M115" s="206">
        <f t="shared" si="25"/>
        <v>0</v>
      </c>
      <c r="N115" s="206">
        <f t="shared" si="25"/>
        <v>0</v>
      </c>
      <c r="O115" s="206">
        <f t="shared" si="25"/>
        <v>0</v>
      </c>
      <c r="P115" s="206">
        <f t="shared" si="25"/>
        <v>0</v>
      </c>
      <c r="Q115" s="206">
        <f t="shared" si="25"/>
        <v>0</v>
      </c>
      <c r="R115" s="206">
        <f t="shared" si="25"/>
        <v>0</v>
      </c>
      <c r="S115" s="206">
        <f t="shared" si="25"/>
        <v>0</v>
      </c>
      <c r="T115" s="206">
        <f t="shared" si="25"/>
        <v>0</v>
      </c>
      <c r="U115" s="206">
        <f t="shared" si="25"/>
        <v>0</v>
      </c>
      <c r="V115" s="208">
        <f t="shared" si="25"/>
        <v>0</v>
      </c>
      <c r="W115" s="206">
        <f t="shared" si="25"/>
        <v>0</v>
      </c>
      <c r="X115" s="206">
        <f t="shared" si="25"/>
        <v>0</v>
      </c>
      <c r="Y115" s="206">
        <f t="shared" si="25"/>
        <v>0</v>
      </c>
      <c r="Z115" s="206">
        <f t="shared" si="25"/>
        <v>0</v>
      </c>
      <c r="AA115" s="206">
        <f t="shared" si="25"/>
        <v>0</v>
      </c>
      <c r="AB115" s="206">
        <f t="shared" si="25"/>
        <v>0</v>
      </c>
      <c r="AC115" s="206">
        <f t="shared" si="25"/>
        <v>0</v>
      </c>
      <c r="AD115" s="206">
        <f t="shared" si="25"/>
        <v>0</v>
      </c>
      <c r="AE115" s="206">
        <f t="shared" si="25"/>
        <v>0</v>
      </c>
      <c r="AF115" s="206">
        <f t="shared" si="25"/>
        <v>0</v>
      </c>
      <c r="AG115" s="206">
        <f t="shared" si="25"/>
        <v>0</v>
      </c>
      <c r="AH115" s="208">
        <f t="shared" si="25"/>
        <v>0</v>
      </c>
      <c r="AI115" s="33"/>
    </row>
    <row r="116" spans="5:45" x14ac:dyDescent="0.3">
      <c r="E116" s="203" t="s">
        <v>190</v>
      </c>
      <c r="F116" s="204"/>
      <c r="G116" s="204"/>
      <c r="H116" s="205">
        <f>H115</f>
        <v>0</v>
      </c>
      <c r="I116" s="206">
        <f t="shared" ref="I116:AH116" si="26">I115</f>
        <v>0</v>
      </c>
      <c r="J116" s="207">
        <f t="shared" si="26"/>
        <v>0</v>
      </c>
      <c r="K116" s="206">
        <f t="shared" si="26"/>
        <v>0</v>
      </c>
      <c r="L116" s="206">
        <f t="shared" si="26"/>
        <v>0</v>
      </c>
      <c r="M116" s="206">
        <f t="shared" si="26"/>
        <v>0</v>
      </c>
      <c r="N116" s="206">
        <f t="shared" si="26"/>
        <v>0</v>
      </c>
      <c r="O116" s="206">
        <f t="shared" si="26"/>
        <v>0</v>
      </c>
      <c r="P116" s="206">
        <f t="shared" si="26"/>
        <v>0</v>
      </c>
      <c r="Q116" s="206">
        <f t="shared" si="26"/>
        <v>0</v>
      </c>
      <c r="R116" s="206">
        <f t="shared" si="26"/>
        <v>0</v>
      </c>
      <c r="S116" s="206">
        <f t="shared" si="26"/>
        <v>0</v>
      </c>
      <c r="T116" s="206">
        <f t="shared" si="26"/>
        <v>0</v>
      </c>
      <c r="U116" s="206">
        <f t="shared" si="26"/>
        <v>0</v>
      </c>
      <c r="V116" s="208">
        <f t="shared" si="26"/>
        <v>0</v>
      </c>
      <c r="W116" s="206">
        <f t="shared" si="26"/>
        <v>0</v>
      </c>
      <c r="X116" s="206">
        <f t="shared" si="26"/>
        <v>0</v>
      </c>
      <c r="Y116" s="206">
        <f t="shared" si="26"/>
        <v>0</v>
      </c>
      <c r="Z116" s="206">
        <f t="shared" si="26"/>
        <v>0</v>
      </c>
      <c r="AA116" s="206">
        <f t="shared" si="26"/>
        <v>0</v>
      </c>
      <c r="AB116" s="206">
        <f t="shared" si="26"/>
        <v>0</v>
      </c>
      <c r="AC116" s="206">
        <f t="shared" si="26"/>
        <v>0</v>
      </c>
      <c r="AD116" s="206">
        <f t="shared" si="26"/>
        <v>0</v>
      </c>
      <c r="AE116" s="206">
        <f t="shared" si="26"/>
        <v>0</v>
      </c>
      <c r="AF116" s="206">
        <f t="shared" si="26"/>
        <v>0</v>
      </c>
      <c r="AG116" s="206">
        <f t="shared" si="26"/>
        <v>0</v>
      </c>
      <c r="AH116" s="208">
        <f t="shared" si="26"/>
        <v>0</v>
      </c>
      <c r="AI116" s="33"/>
    </row>
    <row r="117" spans="5:45" x14ac:dyDescent="0.3">
      <c r="E117" s="225"/>
      <c r="H117" s="268"/>
      <c r="J117" s="269"/>
      <c r="K117" s="33"/>
      <c r="L117" s="33"/>
      <c r="M117" s="33"/>
      <c r="N117" s="33"/>
      <c r="O117" s="33"/>
      <c r="P117" s="33"/>
      <c r="Q117" s="33"/>
      <c r="R117" s="33"/>
      <c r="S117" s="33"/>
      <c r="T117" s="33"/>
      <c r="U117" s="33"/>
      <c r="V117" s="241"/>
      <c r="W117" s="33"/>
      <c r="X117" s="33"/>
      <c r="Y117" s="33"/>
      <c r="Z117" s="33"/>
      <c r="AA117" s="33"/>
      <c r="AB117" s="33"/>
      <c r="AC117" s="33"/>
      <c r="AD117" s="33"/>
      <c r="AE117" s="33"/>
      <c r="AF117" s="33"/>
      <c r="AG117" s="33"/>
      <c r="AH117" s="241"/>
      <c r="AI117" s="33"/>
    </row>
    <row r="118" spans="5:45" x14ac:dyDescent="0.3">
      <c r="E118" s="209" t="s">
        <v>180</v>
      </c>
      <c r="F118" s="291"/>
      <c r="G118" s="291">
        <v>1350</v>
      </c>
      <c r="H118" s="294">
        <v>0</v>
      </c>
      <c r="I118" s="295">
        <v>0</v>
      </c>
      <c r="J118" s="267">
        <v>0</v>
      </c>
      <c r="K118" s="206">
        <f t="shared" ref="K118:AH118" si="27">$G$118*$B$7</f>
        <v>0</v>
      </c>
      <c r="L118" s="206">
        <f t="shared" si="27"/>
        <v>0</v>
      </c>
      <c r="M118" s="206">
        <f t="shared" si="27"/>
        <v>0</v>
      </c>
      <c r="N118" s="206">
        <f t="shared" si="27"/>
        <v>0</v>
      </c>
      <c r="O118" s="206">
        <f t="shared" si="27"/>
        <v>0</v>
      </c>
      <c r="P118" s="206">
        <f t="shared" si="27"/>
        <v>0</v>
      </c>
      <c r="Q118" s="206">
        <f t="shared" si="27"/>
        <v>0</v>
      </c>
      <c r="R118" s="206">
        <f t="shared" si="27"/>
        <v>0</v>
      </c>
      <c r="S118" s="206">
        <f t="shared" si="27"/>
        <v>0</v>
      </c>
      <c r="T118" s="206">
        <f t="shared" si="27"/>
        <v>0</v>
      </c>
      <c r="U118" s="206">
        <f t="shared" si="27"/>
        <v>0</v>
      </c>
      <c r="V118" s="208">
        <f t="shared" si="27"/>
        <v>0</v>
      </c>
      <c r="W118" s="206">
        <f t="shared" si="27"/>
        <v>0</v>
      </c>
      <c r="X118" s="206">
        <f t="shared" si="27"/>
        <v>0</v>
      </c>
      <c r="Y118" s="206">
        <f t="shared" si="27"/>
        <v>0</v>
      </c>
      <c r="Z118" s="206">
        <f t="shared" si="27"/>
        <v>0</v>
      </c>
      <c r="AA118" s="206">
        <f t="shared" si="27"/>
        <v>0</v>
      </c>
      <c r="AB118" s="206">
        <f t="shared" si="27"/>
        <v>0</v>
      </c>
      <c r="AC118" s="206">
        <f t="shared" si="27"/>
        <v>0</v>
      </c>
      <c r="AD118" s="206">
        <f t="shared" si="27"/>
        <v>0</v>
      </c>
      <c r="AE118" s="206">
        <f t="shared" si="27"/>
        <v>0</v>
      </c>
      <c r="AF118" s="206">
        <f t="shared" si="27"/>
        <v>0</v>
      </c>
      <c r="AG118" s="206">
        <f t="shared" si="27"/>
        <v>0</v>
      </c>
      <c r="AH118" s="208">
        <f t="shared" si="27"/>
        <v>0</v>
      </c>
      <c r="AI118" s="33"/>
    </row>
    <row r="119" spans="5:45" x14ac:dyDescent="0.3">
      <c r="E119" s="203" t="s">
        <v>191</v>
      </c>
      <c r="F119" s="204"/>
      <c r="G119" s="204"/>
      <c r="H119" s="205">
        <v>0</v>
      </c>
      <c r="I119" s="206">
        <v>0</v>
      </c>
      <c r="J119" s="207">
        <v>0</v>
      </c>
      <c r="K119" s="206">
        <f>K118</f>
        <v>0</v>
      </c>
      <c r="L119" s="206">
        <f t="shared" ref="L119:AH119" si="28">L118</f>
        <v>0</v>
      </c>
      <c r="M119" s="206">
        <f t="shared" si="28"/>
        <v>0</v>
      </c>
      <c r="N119" s="206">
        <f t="shared" si="28"/>
        <v>0</v>
      </c>
      <c r="O119" s="206">
        <f t="shared" si="28"/>
        <v>0</v>
      </c>
      <c r="P119" s="206">
        <f t="shared" si="28"/>
        <v>0</v>
      </c>
      <c r="Q119" s="206">
        <f t="shared" si="28"/>
        <v>0</v>
      </c>
      <c r="R119" s="206">
        <f t="shared" si="28"/>
        <v>0</v>
      </c>
      <c r="S119" s="206">
        <f t="shared" si="28"/>
        <v>0</v>
      </c>
      <c r="T119" s="206">
        <f t="shared" si="28"/>
        <v>0</v>
      </c>
      <c r="U119" s="206">
        <f t="shared" si="28"/>
        <v>0</v>
      </c>
      <c r="V119" s="208">
        <f t="shared" si="28"/>
        <v>0</v>
      </c>
      <c r="W119" s="206">
        <f t="shared" si="28"/>
        <v>0</v>
      </c>
      <c r="X119" s="206">
        <f t="shared" si="28"/>
        <v>0</v>
      </c>
      <c r="Y119" s="206">
        <f t="shared" si="28"/>
        <v>0</v>
      </c>
      <c r="Z119" s="206">
        <f t="shared" si="28"/>
        <v>0</v>
      </c>
      <c r="AA119" s="206">
        <f t="shared" si="28"/>
        <v>0</v>
      </c>
      <c r="AB119" s="206">
        <f t="shared" si="28"/>
        <v>0</v>
      </c>
      <c r="AC119" s="206">
        <f t="shared" si="28"/>
        <v>0</v>
      </c>
      <c r="AD119" s="206">
        <f t="shared" si="28"/>
        <v>0</v>
      </c>
      <c r="AE119" s="206">
        <f t="shared" si="28"/>
        <v>0</v>
      </c>
      <c r="AF119" s="206">
        <f t="shared" si="28"/>
        <v>0</v>
      </c>
      <c r="AG119" s="206">
        <f t="shared" si="28"/>
        <v>0</v>
      </c>
      <c r="AH119" s="208">
        <f t="shared" si="28"/>
        <v>0</v>
      </c>
      <c r="AI119" s="33"/>
    </row>
    <row r="120" spans="5:45" x14ac:dyDescent="0.3">
      <c r="E120" s="225"/>
      <c r="H120" s="268"/>
      <c r="J120" s="269"/>
      <c r="K120" s="33"/>
      <c r="L120" s="33"/>
      <c r="M120" s="33"/>
      <c r="N120" s="33"/>
      <c r="O120" s="33"/>
      <c r="P120" s="33"/>
      <c r="Q120" s="33"/>
      <c r="R120" s="33"/>
      <c r="S120" s="33"/>
      <c r="T120" s="33"/>
      <c r="U120" s="33"/>
      <c r="V120" s="241"/>
      <c r="W120" s="33"/>
      <c r="X120" s="33"/>
      <c r="Y120" s="33"/>
      <c r="Z120" s="33"/>
      <c r="AA120" s="33"/>
      <c r="AB120" s="33"/>
      <c r="AC120" s="33"/>
      <c r="AD120" s="33"/>
      <c r="AE120" s="33"/>
      <c r="AF120" s="33"/>
      <c r="AG120" s="33"/>
      <c r="AH120" s="241"/>
      <c r="AI120" s="33"/>
    </row>
    <row r="121" spans="5:45" x14ac:dyDescent="0.3">
      <c r="E121" s="203" t="s">
        <v>192</v>
      </c>
      <c r="F121" s="204"/>
      <c r="G121" s="204"/>
      <c r="H121" s="205">
        <f>SUM(H69,H81,H88,H99,H108,H113,H116,H119,)</f>
        <v>12000</v>
      </c>
      <c r="I121" s="206">
        <f t="shared" ref="I121:AH121" si="29">SUM(I69,I81,I88,I99,I108,I113,I116,I119,)</f>
        <v>12000</v>
      </c>
      <c r="J121" s="207">
        <f t="shared" si="29"/>
        <v>12000</v>
      </c>
      <c r="K121" s="206" t="e">
        <f t="shared" si="29"/>
        <v>#DIV/0!</v>
      </c>
      <c r="L121" s="206" t="e">
        <f t="shared" si="29"/>
        <v>#DIV/0!</v>
      </c>
      <c r="M121" s="206" t="e">
        <f t="shared" si="29"/>
        <v>#REF!</v>
      </c>
      <c r="N121" s="206" t="e">
        <f t="shared" si="29"/>
        <v>#REF!</v>
      </c>
      <c r="O121" s="206" t="e">
        <f t="shared" si="29"/>
        <v>#REF!</v>
      </c>
      <c r="P121" s="206" t="e">
        <f t="shared" si="29"/>
        <v>#REF!</v>
      </c>
      <c r="Q121" s="206" t="e">
        <f t="shared" si="29"/>
        <v>#REF!</v>
      </c>
      <c r="R121" s="206" t="e">
        <f t="shared" si="29"/>
        <v>#REF!</v>
      </c>
      <c r="S121" s="206" t="e">
        <f t="shared" si="29"/>
        <v>#REF!</v>
      </c>
      <c r="T121" s="206" t="e">
        <f t="shared" si="29"/>
        <v>#REF!</v>
      </c>
      <c r="U121" s="206" t="e">
        <f t="shared" si="29"/>
        <v>#REF!</v>
      </c>
      <c r="V121" s="208" t="e">
        <f t="shared" si="29"/>
        <v>#REF!</v>
      </c>
      <c r="W121" s="206" t="e">
        <f t="shared" si="29"/>
        <v>#REF!</v>
      </c>
      <c r="X121" s="206" t="e">
        <f t="shared" si="29"/>
        <v>#REF!</v>
      </c>
      <c r="Y121" s="206" t="e">
        <f t="shared" si="29"/>
        <v>#REF!</v>
      </c>
      <c r="Z121" s="206" t="e">
        <f t="shared" si="29"/>
        <v>#REF!</v>
      </c>
      <c r="AA121" s="206" t="e">
        <f t="shared" si="29"/>
        <v>#REF!</v>
      </c>
      <c r="AB121" s="206" t="e">
        <f t="shared" si="29"/>
        <v>#REF!</v>
      </c>
      <c r="AC121" s="206" t="e">
        <f t="shared" si="29"/>
        <v>#REF!</v>
      </c>
      <c r="AD121" s="206" t="e">
        <f t="shared" si="29"/>
        <v>#REF!</v>
      </c>
      <c r="AE121" s="206" t="e">
        <f t="shared" si="29"/>
        <v>#REF!</v>
      </c>
      <c r="AF121" s="206" t="e">
        <f t="shared" si="29"/>
        <v>#REF!</v>
      </c>
      <c r="AG121" s="206" t="e">
        <f t="shared" si="29"/>
        <v>#REF!</v>
      </c>
      <c r="AH121" s="208" t="e">
        <f t="shared" si="29"/>
        <v>#REF!</v>
      </c>
      <c r="AI121" s="33"/>
    </row>
    <row r="122" spans="5:45" x14ac:dyDescent="0.3">
      <c r="E122" s="292" t="s">
        <v>195</v>
      </c>
      <c r="F122" s="162"/>
      <c r="G122" s="162"/>
      <c r="H122" s="293"/>
      <c r="I122" s="162"/>
      <c r="J122" s="269"/>
      <c r="K122" s="121">
        <f>IFERROR(K121/K58,0)</f>
        <v>0</v>
      </c>
      <c r="L122" s="121">
        <f t="shared" ref="L122:AH122" si="30">IFERROR(L121/L58,0)</f>
        <v>0</v>
      </c>
      <c r="M122" s="121">
        <f t="shared" si="30"/>
        <v>0</v>
      </c>
      <c r="N122" s="121">
        <f t="shared" si="30"/>
        <v>0</v>
      </c>
      <c r="O122" s="121">
        <f t="shared" si="30"/>
        <v>0</v>
      </c>
      <c r="P122" s="121">
        <f t="shared" si="30"/>
        <v>0</v>
      </c>
      <c r="Q122" s="121">
        <f t="shared" si="30"/>
        <v>0</v>
      </c>
      <c r="R122" s="121">
        <f t="shared" si="30"/>
        <v>0</v>
      </c>
      <c r="S122" s="121">
        <f t="shared" si="30"/>
        <v>0</v>
      </c>
      <c r="T122" s="121">
        <f t="shared" si="30"/>
        <v>0</v>
      </c>
      <c r="U122" s="121">
        <f t="shared" si="30"/>
        <v>0</v>
      </c>
      <c r="V122" s="296">
        <f t="shared" si="30"/>
        <v>0</v>
      </c>
      <c r="W122" s="121">
        <f t="shared" si="30"/>
        <v>0</v>
      </c>
      <c r="X122" s="121">
        <f t="shared" si="30"/>
        <v>0</v>
      </c>
      <c r="Y122" s="121">
        <f t="shared" si="30"/>
        <v>0</v>
      </c>
      <c r="Z122" s="121">
        <f t="shared" si="30"/>
        <v>0</v>
      </c>
      <c r="AA122" s="121">
        <f t="shared" si="30"/>
        <v>0</v>
      </c>
      <c r="AB122" s="121">
        <f t="shared" si="30"/>
        <v>0</v>
      </c>
      <c r="AC122" s="121">
        <f t="shared" si="30"/>
        <v>0</v>
      </c>
      <c r="AD122" s="121">
        <f t="shared" si="30"/>
        <v>0</v>
      </c>
      <c r="AE122" s="121">
        <f t="shared" si="30"/>
        <v>0</v>
      </c>
      <c r="AF122" s="121">
        <f t="shared" si="30"/>
        <v>0</v>
      </c>
      <c r="AG122" s="121">
        <f t="shared" si="30"/>
        <v>0</v>
      </c>
      <c r="AH122" s="296">
        <f t="shared" si="30"/>
        <v>0</v>
      </c>
      <c r="AI122" s="33"/>
    </row>
    <row r="123" spans="5:45" x14ac:dyDescent="0.3">
      <c r="E123" s="225"/>
      <c r="H123" s="268"/>
      <c r="J123" s="269"/>
      <c r="K123" s="33"/>
      <c r="L123" s="33"/>
      <c r="M123" s="33"/>
      <c r="N123" s="33"/>
      <c r="O123" s="33"/>
      <c r="P123" s="33"/>
      <c r="Q123" s="33"/>
      <c r="R123" s="33"/>
      <c r="S123" s="33"/>
      <c r="T123" s="33"/>
      <c r="U123" s="33"/>
      <c r="V123" s="241"/>
      <c r="W123" s="33"/>
      <c r="X123" s="33"/>
      <c r="Y123" s="33"/>
      <c r="Z123" s="33"/>
      <c r="AA123" s="33"/>
      <c r="AB123" s="33"/>
      <c r="AC123" s="33"/>
      <c r="AD123" s="33"/>
      <c r="AE123" s="33"/>
      <c r="AF123" s="33"/>
      <c r="AG123" s="33"/>
      <c r="AH123" s="241"/>
      <c r="AI123" s="33"/>
    </row>
    <row r="124" spans="5:45" x14ac:dyDescent="0.3">
      <c r="E124" s="203" t="s">
        <v>193</v>
      </c>
      <c r="F124" s="204"/>
      <c r="G124" s="204"/>
      <c r="H124" s="297">
        <f>H58-H121</f>
        <v>-12000</v>
      </c>
      <c r="I124" s="298">
        <f t="shared" ref="I124:AH124" si="31">I58-I121</f>
        <v>-12000</v>
      </c>
      <c r="J124" s="299">
        <f t="shared" si="31"/>
        <v>-12000</v>
      </c>
      <c r="K124" s="246" t="e">
        <f t="shared" si="31"/>
        <v>#DIV/0!</v>
      </c>
      <c r="L124" s="246" t="e">
        <f t="shared" si="31"/>
        <v>#DIV/0!</v>
      </c>
      <c r="M124" s="246" t="e">
        <f t="shared" si="31"/>
        <v>#DIV/0!</v>
      </c>
      <c r="N124" s="246" t="e">
        <f t="shared" si="31"/>
        <v>#DIV/0!</v>
      </c>
      <c r="O124" s="246" t="e">
        <f t="shared" si="31"/>
        <v>#DIV/0!</v>
      </c>
      <c r="P124" s="246" t="e">
        <f t="shared" si="31"/>
        <v>#DIV/0!</v>
      </c>
      <c r="Q124" s="246" t="e">
        <f t="shared" si="31"/>
        <v>#DIV/0!</v>
      </c>
      <c r="R124" s="246" t="e">
        <f t="shared" si="31"/>
        <v>#DIV/0!</v>
      </c>
      <c r="S124" s="246" t="e">
        <f t="shared" si="31"/>
        <v>#DIV/0!</v>
      </c>
      <c r="T124" s="246" t="e">
        <f t="shared" si="31"/>
        <v>#DIV/0!</v>
      </c>
      <c r="U124" s="246" t="e">
        <f t="shared" si="31"/>
        <v>#DIV/0!</v>
      </c>
      <c r="V124" s="300" t="e">
        <f t="shared" si="31"/>
        <v>#DIV/0!</v>
      </c>
      <c r="W124" s="246" t="e">
        <f t="shared" si="31"/>
        <v>#DIV/0!</v>
      </c>
      <c r="X124" s="246" t="e">
        <f t="shared" si="31"/>
        <v>#DIV/0!</v>
      </c>
      <c r="Y124" s="246" t="e">
        <f t="shared" si="31"/>
        <v>#DIV/0!</v>
      </c>
      <c r="Z124" s="246" t="e">
        <f t="shared" si="31"/>
        <v>#DIV/0!</v>
      </c>
      <c r="AA124" s="246" t="e">
        <f t="shared" si="31"/>
        <v>#DIV/0!</v>
      </c>
      <c r="AB124" s="246" t="e">
        <f t="shared" si="31"/>
        <v>#DIV/0!</v>
      </c>
      <c r="AC124" s="246" t="e">
        <f t="shared" si="31"/>
        <v>#DIV/0!</v>
      </c>
      <c r="AD124" s="246" t="e">
        <f t="shared" si="31"/>
        <v>#DIV/0!</v>
      </c>
      <c r="AE124" s="246" t="e">
        <f t="shared" si="31"/>
        <v>#DIV/0!</v>
      </c>
      <c r="AF124" s="246" t="e">
        <f t="shared" si="31"/>
        <v>#DIV/0!</v>
      </c>
      <c r="AG124" s="246" t="e">
        <f t="shared" si="31"/>
        <v>#DIV/0!</v>
      </c>
      <c r="AH124" s="300" t="e">
        <f t="shared" si="31"/>
        <v>#DIV/0!</v>
      </c>
      <c r="AI124" s="33"/>
    </row>
    <row r="126" spans="5:45" x14ac:dyDescent="0.3">
      <c r="E126" s="3" t="s">
        <v>237</v>
      </c>
      <c r="F126" s="3" t="s">
        <v>237</v>
      </c>
      <c r="J126" s="3" t="s">
        <v>237</v>
      </c>
      <c r="K126" s="3" t="s">
        <v>237</v>
      </c>
      <c r="L126" s="3" t="s">
        <v>237</v>
      </c>
      <c r="M126" s="3" t="s">
        <v>237</v>
      </c>
      <c r="N126" s="3" t="s">
        <v>237</v>
      </c>
      <c r="O126" s="3" t="s">
        <v>237</v>
      </c>
      <c r="P126" s="3" t="s">
        <v>237</v>
      </c>
      <c r="Q126" s="3" t="s">
        <v>237</v>
      </c>
      <c r="R126" s="3" t="s">
        <v>237</v>
      </c>
      <c r="S126" s="3" t="s">
        <v>237</v>
      </c>
      <c r="T126" s="3" t="s">
        <v>237</v>
      </c>
      <c r="U126" s="3" t="s">
        <v>237</v>
      </c>
      <c r="V126" s="3" t="s">
        <v>237</v>
      </c>
      <c r="W126" s="3" t="s">
        <v>237</v>
      </c>
      <c r="X126" s="3" t="s">
        <v>237</v>
      </c>
      <c r="Y126" s="3" t="s">
        <v>237</v>
      </c>
      <c r="Z126" s="3" t="s">
        <v>237</v>
      </c>
      <c r="AA126" s="3" t="s">
        <v>237</v>
      </c>
      <c r="AB126" s="3" t="s">
        <v>237</v>
      </c>
      <c r="AC126" s="3" t="s">
        <v>237</v>
      </c>
      <c r="AD126" s="3" t="s">
        <v>237</v>
      </c>
      <c r="AE126" s="3" t="s">
        <v>237</v>
      </c>
      <c r="AF126" s="3" t="s">
        <v>237</v>
      </c>
      <c r="AG126" s="3" t="s">
        <v>237</v>
      </c>
      <c r="AH126" s="3" t="s">
        <v>237</v>
      </c>
      <c r="AI126" s="3" t="s">
        <v>237</v>
      </c>
      <c r="AJ126" s="3" t="s">
        <v>237</v>
      </c>
      <c r="AK126" s="3" t="s">
        <v>237</v>
      </c>
      <c r="AL126" s="3" t="s">
        <v>237</v>
      </c>
      <c r="AM126" s="3" t="s">
        <v>237</v>
      </c>
      <c r="AN126" s="3" t="s">
        <v>237</v>
      </c>
      <c r="AO126" s="3" t="s">
        <v>237</v>
      </c>
      <c r="AP126" s="3" t="s">
        <v>237</v>
      </c>
      <c r="AQ126" s="3" t="s">
        <v>237</v>
      </c>
      <c r="AR126" s="3" t="s">
        <v>237</v>
      </c>
      <c r="AS126" s="3" t="s">
        <v>237</v>
      </c>
    </row>
    <row r="127" spans="5:45" x14ac:dyDescent="0.3">
      <c r="K127" s="33"/>
      <c r="L127" s="33"/>
      <c r="M127" s="33"/>
      <c r="N127" s="33"/>
      <c r="O127" s="33"/>
      <c r="P127" s="33"/>
      <c r="Q127" s="33"/>
      <c r="R127" s="33"/>
      <c r="S127" s="33"/>
      <c r="T127" s="33"/>
      <c r="U127" s="33"/>
    </row>
    <row r="128" spans="5:45" x14ac:dyDescent="0.3">
      <c r="K128" s="33"/>
      <c r="L128" s="33"/>
      <c r="M128" s="33"/>
      <c r="N128" s="33"/>
      <c r="O128" s="33"/>
      <c r="P128" s="33"/>
      <c r="Q128" s="33"/>
      <c r="R128" s="33"/>
      <c r="S128" s="33"/>
      <c r="T128" s="33"/>
      <c r="U128" s="33"/>
    </row>
    <row r="129" spans="11:34" x14ac:dyDescent="0.3">
      <c r="K129" s="33"/>
      <c r="L129" s="33"/>
      <c r="M129" s="33"/>
      <c r="N129" s="33"/>
      <c r="O129" s="33"/>
      <c r="P129" s="33"/>
      <c r="Q129" s="33"/>
      <c r="R129" s="33"/>
      <c r="S129" s="33"/>
      <c r="T129" s="33"/>
      <c r="U129" s="33"/>
      <c r="W129" s="33"/>
      <c r="X129" s="33"/>
      <c r="Y129" s="33"/>
      <c r="Z129" s="33"/>
      <c r="AA129" s="33"/>
      <c r="AB129" s="33"/>
      <c r="AC129" s="33"/>
      <c r="AD129" s="33"/>
      <c r="AE129" s="33"/>
      <c r="AF129" s="33"/>
      <c r="AG129" s="33"/>
      <c r="AH129" s="33"/>
    </row>
    <row r="130" spans="11:34" x14ac:dyDescent="0.3">
      <c r="K130" s="33"/>
      <c r="L130" s="33"/>
      <c r="M130" s="33"/>
      <c r="N130" s="33"/>
      <c r="O130" s="33"/>
      <c r="P130" s="33"/>
      <c r="Q130" s="33"/>
      <c r="R130" s="33"/>
      <c r="S130" s="33"/>
      <c r="T130" s="33"/>
      <c r="U130" s="33"/>
      <c r="W130" s="33"/>
    </row>
  </sheetData>
  <mergeCells count="2">
    <mergeCell ref="H15:J15"/>
    <mergeCell ref="B2:C2"/>
  </mergeCells>
  <conditionalFormatting sqref="J11:AH11">
    <cfRule type="cellIs" dxfId="0" priority="1" operator="greaterThanOrEqual">
      <formula>$C$5</formula>
    </cfRule>
  </conditionalFormatting>
  <pageMargins left="0.7" right="0.7" top="0.75" bottom="0.75" header="0.3" footer="0.3"/>
  <pageSetup paperSize="3" scale="30" fitToHeight="0"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D2801E25-D422-4B6B-A618-49D09AFAB5DD}">
          <x14:formula1>
            <xm:f>'OpStatement List - Dropdowns'!$I$5:$I$53</xm:f>
          </x14:formula1>
          <xm:sqref>E54:E55</xm:sqref>
        </x14:dataValidation>
        <x14:dataValidation type="list" allowBlank="1" showInputMessage="1" showErrorMessage="1" xr:uid="{9937EFB9-32A9-43C5-AF25-D6A87D9FE405}">
          <x14:formula1>
            <xm:f>'OpStatement List - Dropdowns'!$L$5:$L$11</xm:f>
          </x14:formula1>
          <xm:sqref>E62:E68</xm:sqref>
        </x14:dataValidation>
        <x14:dataValidation type="list" allowBlank="1" showInputMessage="1" showErrorMessage="1" xr:uid="{81CFEE7F-9A0D-496D-8D1F-0294DCDC6A05}">
          <x14:formula1>
            <xm:f>'OpStatement List - Dropdowns'!$L$13:$L$22</xm:f>
          </x14:formula1>
          <xm:sqref>E71:E80</xm:sqref>
        </x14:dataValidation>
        <x14:dataValidation type="list" allowBlank="1" showInputMessage="1" showErrorMessage="1" xr:uid="{15C04191-B3E5-40DF-A95E-BA3E21B4F9D3}">
          <x14:formula1>
            <xm:f>'OpStatement List - Dropdowns'!$L$25:$L$29</xm:f>
          </x14:formula1>
          <xm:sqref>E83:E87</xm:sqref>
        </x14:dataValidation>
        <x14:dataValidation type="list" allowBlank="1" showInputMessage="1" showErrorMessage="1" xr:uid="{1B99930F-45F3-459D-ABAB-63097869A1F0}">
          <x14:formula1>
            <xm:f>'OpStatement List - Dropdowns'!$L$32:$L$39</xm:f>
          </x14:formula1>
          <xm:sqref>E90:E95</xm:sqref>
        </x14:dataValidation>
        <x14:dataValidation type="list" allowBlank="1" showInputMessage="1" showErrorMessage="1" xr:uid="{DF28D66B-FAD1-4F10-BF91-B9ED543A8379}">
          <x14:formula1>
            <xm:f>'OpStatement List - Dropdowns'!$L$46:$L$53</xm:f>
          </x14:formula1>
          <xm:sqref>E101:E107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77030-082B-4D03-8F52-52CA24568B93}">
  <sheetPr>
    <tabColor rgb="FFFFC000"/>
  </sheetPr>
  <dimension ref="A1:T110"/>
  <sheetViews>
    <sheetView workbookViewId="0">
      <selection activeCell="M30" sqref="M30"/>
    </sheetView>
  </sheetViews>
  <sheetFormatPr defaultColWidth="8.6640625" defaultRowHeight="13.8" outlineLevelRow="1" x14ac:dyDescent="0.3"/>
  <cols>
    <col min="1" max="1" width="8.6640625" style="501"/>
    <col min="2" max="2" width="5.5546875" style="501" bestFit="1" customWidth="1"/>
    <col min="3" max="3" width="31.33203125" style="501" customWidth="1"/>
    <col min="4" max="4" width="7.33203125" style="501" customWidth="1"/>
    <col min="5" max="5" width="16.88671875" style="501" bestFit="1" customWidth="1"/>
    <col min="6" max="6" width="16.6640625" style="501" customWidth="1"/>
    <col min="7" max="7" width="1.5546875" style="501" customWidth="1"/>
    <col min="8" max="8" width="16.33203125" style="501" bestFit="1" customWidth="1"/>
    <col min="9" max="9" width="16.6640625" style="501" customWidth="1"/>
    <col min="10" max="10" width="1.5546875" style="501" customWidth="1"/>
    <col min="11" max="11" width="3.33203125" style="501" customWidth="1"/>
    <col min="12" max="12" width="10" style="501" customWidth="1"/>
    <col min="13" max="14" width="17.6640625" style="501" bestFit="1" customWidth="1"/>
    <col min="15" max="15" width="1.6640625" style="501" customWidth="1"/>
    <col min="16" max="16" width="147.33203125" style="501" customWidth="1"/>
    <col min="17" max="17" width="8.6640625" style="501"/>
    <col min="18" max="18" width="15.6640625" style="501" bestFit="1" customWidth="1"/>
    <col min="19" max="19" width="23.6640625" style="501" customWidth="1"/>
    <col min="20" max="20" width="13.6640625" style="501" bestFit="1" customWidth="1"/>
    <col min="21" max="16384" width="8.6640625" style="501"/>
  </cols>
  <sheetData>
    <row r="1" spans="3:20" x14ac:dyDescent="0.3">
      <c r="C1" s="500" t="s">
        <v>235</v>
      </c>
    </row>
    <row r="2" spans="3:20" x14ac:dyDescent="0.3">
      <c r="C2" s="502"/>
    </row>
    <row r="3" spans="3:20" x14ac:dyDescent="0.3">
      <c r="C3" s="503" t="s">
        <v>74</v>
      </c>
      <c r="M3" s="504"/>
    </row>
    <row r="4" spans="3:20" x14ac:dyDescent="0.3">
      <c r="C4" s="505">
        <f>'Rent Schedule'!E31</f>
        <v>0</v>
      </c>
      <c r="D4" s="506"/>
      <c r="H4" s="504"/>
      <c r="M4" s="504"/>
    </row>
    <row r="5" spans="3:20" ht="14.4" thickBot="1" x14ac:dyDescent="0.35">
      <c r="C5" s="507"/>
      <c r="D5" s="506"/>
    </row>
    <row r="6" spans="3:20" ht="28.2" customHeight="1" thickTop="1" x14ac:dyDescent="0.3">
      <c r="E6" s="774" t="str">
        <f>CONCATENATE(C2," - Lease Up")</f>
        <v xml:space="preserve"> - Lease Up</v>
      </c>
      <c r="F6" s="775"/>
      <c r="G6" s="775"/>
      <c r="H6" s="775"/>
      <c r="I6" s="776"/>
      <c r="J6" s="508"/>
      <c r="K6" s="509"/>
      <c r="L6" s="777" t="s">
        <v>464</v>
      </c>
      <c r="M6" s="778"/>
      <c r="N6" s="779"/>
      <c r="O6" s="783" t="s">
        <v>197</v>
      </c>
      <c r="P6" s="784"/>
    </row>
    <row r="7" spans="3:20" x14ac:dyDescent="0.3">
      <c r="C7" s="510"/>
      <c r="D7" s="511"/>
      <c r="E7" s="803" t="s">
        <v>465</v>
      </c>
      <c r="F7" s="804"/>
      <c r="G7" s="510"/>
      <c r="H7" s="791" t="s">
        <v>466</v>
      </c>
      <c r="I7" s="792"/>
      <c r="K7" s="512"/>
      <c r="L7" s="780"/>
      <c r="M7" s="781"/>
      <c r="N7" s="782"/>
      <c r="O7" s="785"/>
      <c r="P7" s="786"/>
    </row>
    <row r="8" spans="3:20" x14ac:dyDescent="0.3">
      <c r="C8" s="793"/>
      <c r="D8" s="794"/>
      <c r="E8" s="795" t="s">
        <v>66</v>
      </c>
      <c r="F8" s="797" t="s">
        <v>67</v>
      </c>
      <c r="G8" s="515"/>
      <c r="H8" s="799" t="s">
        <v>66</v>
      </c>
      <c r="I8" s="801" t="s">
        <v>67</v>
      </c>
      <c r="K8" s="512"/>
      <c r="L8" s="516"/>
      <c r="M8" s="789" t="s">
        <v>66</v>
      </c>
      <c r="N8" s="801" t="s">
        <v>67</v>
      </c>
      <c r="O8" s="785"/>
      <c r="P8" s="786"/>
    </row>
    <row r="9" spans="3:20" ht="6" customHeight="1" x14ac:dyDescent="0.3">
      <c r="C9" s="517"/>
      <c r="D9" s="518"/>
      <c r="E9" s="796"/>
      <c r="F9" s="798"/>
      <c r="G9" s="515"/>
      <c r="H9" s="800"/>
      <c r="I9" s="802"/>
      <c r="K9" s="512"/>
      <c r="L9" s="519"/>
      <c r="M9" s="790"/>
      <c r="N9" s="802"/>
      <c r="O9" s="787"/>
      <c r="P9" s="788"/>
    </row>
    <row r="10" spans="3:20" x14ac:dyDescent="0.3">
      <c r="C10" s="520" t="s">
        <v>223</v>
      </c>
      <c r="E10" s="521">
        <f>SUM('Operating Budget - Monthly'!K16:V16)</f>
        <v>0</v>
      </c>
      <c r="F10" s="522" t="e">
        <f>+E10/$C$4</f>
        <v>#DIV/0!</v>
      </c>
      <c r="G10" s="515"/>
      <c r="H10" s="523">
        <f>SUM('Operating Budget - Monthly'!W16:AH16)</f>
        <v>0</v>
      </c>
      <c r="I10" s="524" t="e">
        <f>+H10/$C$4</f>
        <v>#DIV/0!</v>
      </c>
      <c r="K10" s="512"/>
      <c r="L10" s="525"/>
      <c r="M10" s="526">
        <f>'Rent Schedule'!P31</f>
        <v>0</v>
      </c>
      <c r="N10" s="524" t="e">
        <f>+M10/$C$4</f>
        <v>#DIV/0!</v>
      </c>
      <c r="O10" s="513"/>
      <c r="P10" s="527"/>
    </row>
    <row r="11" spans="3:20" x14ac:dyDescent="0.3">
      <c r="C11" s="515" t="s">
        <v>224</v>
      </c>
      <c r="E11" s="528">
        <f>SUM('Operating Budget - Monthly'!K17:V17)</f>
        <v>0</v>
      </c>
      <c r="F11" s="529" t="e">
        <f>+E11/$C$4</f>
        <v>#DIV/0!</v>
      </c>
      <c r="G11" s="515"/>
      <c r="H11" s="530">
        <f>SUM('Operating Budget - Monthly'!W17:AH17)</f>
        <v>0</v>
      </c>
      <c r="I11" s="531" t="e">
        <f>+H11/$C$4</f>
        <v>#DIV/0!</v>
      </c>
      <c r="K11" s="512"/>
      <c r="L11" s="532">
        <v>0.01</v>
      </c>
      <c r="M11" s="533">
        <f>+M10*-L11</f>
        <v>0</v>
      </c>
      <c r="N11" s="531" t="e">
        <f>+M11/$C$4</f>
        <v>#DIV/0!</v>
      </c>
      <c r="O11" s="513"/>
      <c r="P11" s="514"/>
    </row>
    <row r="12" spans="3:20" ht="20.7" customHeight="1" x14ac:dyDescent="0.3">
      <c r="C12" s="534" t="s">
        <v>215</v>
      </c>
      <c r="D12" s="535"/>
      <c r="E12" s="536">
        <f>+SUM(E10:E11)</f>
        <v>0</v>
      </c>
      <c r="F12" s="537" t="e">
        <f>+E12/$C$4</f>
        <v>#DIV/0!</v>
      </c>
      <c r="G12" s="520"/>
      <c r="H12" s="538">
        <f>+SUM(H10:H11)</f>
        <v>0</v>
      </c>
      <c r="I12" s="539" t="e">
        <f>+H12/$C$4</f>
        <v>#DIV/0!</v>
      </c>
      <c r="K12" s="512"/>
      <c r="L12" s="516"/>
      <c r="M12" s="540">
        <f>+SUM(M10:M11)</f>
        <v>0</v>
      </c>
      <c r="N12" s="539" t="e">
        <f>+M12/$C$4</f>
        <v>#DIV/0!</v>
      </c>
      <c r="O12" s="541"/>
      <c r="P12" s="542"/>
      <c r="R12" s="504"/>
      <c r="S12" s="504"/>
      <c r="T12" s="504"/>
    </row>
    <row r="13" spans="3:20" ht="4.95" customHeight="1" x14ac:dyDescent="0.3">
      <c r="C13" s="517"/>
      <c r="D13" s="543"/>
      <c r="E13" s="519"/>
      <c r="F13" s="544"/>
      <c r="G13" s="515"/>
      <c r="H13" s="517"/>
      <c r="I13" s="518"/>
      <c r="K13" s="512"/>
      <c r="L13" s="519"/>
      <c r="M13" s="545"/>
      <c r="N13" s="518"/>
      <c r="O13" s="546"/>
      <c r="P13" s="547"/>
      <c r="R13" s="548"/>
    </row>
    <row r="14" spans="3:20" x14ac:dyDescent="0.3">
      <c r="C14" s="515" t="s">
        <v>55</v>
      </c>
      <c r="E14" s="549" t="e">
        <f>SUM('Operating Budget - Monthly'!K20:V20)</f>
        <v>#DIV/0!</v>
      </c>
      <c r="F14" s="550" t="e">
        <f>+E14/$C$4</f>
        <v>#DIV/0!</v>
      </c>
      <c r="G14" s="515"/>
      <c r="H14" s="551" t="e">
        <f>SUM('Operating Budget - Monthly'!W20:AH20)</f>
        <v>#DIV/0!</v>
      </c>
      <c r="I14" s="552" t="e">
        <f>+H14/$C$4</f>
        <v>#DIV/0!</v>
      </c>
      <c r="K14" s="512"/>
      <c r="L14" s="553"/>
      <c r="M14" s="554">
        <f>+M15*-$M$12</f>
        <v>0</v>
      </c>
      <c r="N14" s="552" t="e">
        <f>+M14/$C$4</f>
        <v>#DIV/0!</v>
      </c>
      <c r="O14" s="555"/>
      <c r="P14" s="556"/>
    </row>
    <row r="15" spans="3:20" x14ac:dyDescent="0.3">
      <c r="C15" s="557" t="s">
        <v>240</v>
      </c>
      <c r="E15" s="638" t="e">
        <f>+-E14/E12</f>
        <v>#DIV/0!</v>
      </c>
      <c r="F15" s="550"/>
      <c r="G15" s="515"/>
      <c r="H15" s="559" t="e">
        <f>-H14/H12</f>
        <v>#DIV/0!</v>
      </c>
      <c r="I15" s="552"/>
      <c r="K15" s="512"/>
      <c r="L15" s="560"/>
      <c r="M15" s="561">
        <v>0.04</v>
      </c>
      <c r="N15" s="552"/>
      <c r="O15" s="555"/>
      <c r="P15" s="556"/>
    </row>
    <row r="16" spans="3:20" x14ac:dyDescent="0.3">
      <c r="C16" s="562" t="s">
        <v>52</v>
      </c>
      <c r="D16" s="563"/>
      <c r="E16" s="564" t="e">
        <f>SUM('Operating Budget - Monthly'!K22:V22)</f>
        <v>#REF!</v>
      </c>
      <c r="F16" s="565" t="e">
        <f>+E16/$C$4</f>
        <v>#REF!</v>
      </c>
      <c r="G16" s="562"/>
      <c r="H16" s="566" t="e">
        <f>SUM('Operating Budget - Monthly'!W22:AH22)</f>
        <v>#REF!</v>
      </c>
      <c r="I16" s="567" t="e">
        <f>+H16/$C$4</f>
        <v>#REF!</v>
      </c>
      <c r="K16" s="512"/>
      <c r="L16" s="568">
        <v>0</v>
      </c>
      <c r="M16" s="569">
        <f t="shared" ref="M16:M17" si="0">+L16*-$M$12</f>
        <v>0</v>
      </c>
      <c r="N16" s="567" t="e">
        <f>+M16/$C$4</f>
        <v>#DIV/0!</v>
      </c>
      <c r="O16" s="555"/>
      <c r="P16" s="570"/>
      <c r="R16" s="504"/>
    </row>
    <row r="17" spans="3:18" x14ac:dyDescent="0.3">
      <c r="C17" s="515" t="s">
        <v>56</v>
      </c>
      <c r="E17" s="549">
        <f>SUM('Operating Budget - Monthly'!K23:V23)</f>
        <v>0</v>
      </c>
      <c r="F17" s="550" t="e">
        <f>+E17/$C$4</f>
        <v>#DIV/0!</v>
      </c>
      <c r="G17" s="515"/>
      <c r="H17" s="551">
        <f>SUM('Operating Budget - Monthly'!W23:AH23)</f>
        <v>0</v>
      </c>
      <c r="I17" s="552" t="e">
        <f>+H17/$C$4</f>
        <v>#DIV/0!</v>
      </c>
      <c r="K17" s="512"/>
      <c r="L17" s="571">
        <v>1E-3</v>
      </c>
      <c r="M17" s="554">
        <f t="shared" si="0"/>
        <v>0</v>
      </c>
      <c r="N17" s="552" t="e">
        <f>+M17/$C$4</f>
        <v>#DIV/0!</v>
      </c>
      <c r="O17" s="555"/>
      <c r="P17" s="556"/>
      <c r="R17" s="504"/>
    </row>
    <row r="18" spans="3:18" ht="16.2" customHeight="1" x14ac:dyDescent="0.3">
      <c r="C18" s="517" t="s">
        <v>226</v>
      </c>
      <c r="D18" s="543"/>
      <c r="E18" s="528">
        <f>SUM('Operating Budget - Monthly'!K24:V24)</f>
        <v>0</v>
      </c>
      <c r="F18" s="572" t="e">
        <f>+E18/$C$4</f>
        <v>#DIV/0!</v>
      </c>
      <c r="G18" s="515"/>
      <c r="H18" s="530">
        <f>SUM('Operating Budget - Monthly'!W24:AH24)</f>
        <v>0</v>
      </c>
      <c r="I18" s="573" t="e">
        <f>+H18/$C$4</f>
        <v>#DIV/0!</v>
      </c>
      <c r="K18" s="512"/>
      <c r="L18" s="574">
        <v>1.2E-2</v>
      </c>
      <c r="M18" s="575">
        <f>+L18*-M12</f>
        <v>0</v>
      </c>
      <c r="N18" s="573" t="e">
        <f>+M18/$C$4</f>
        <v>#DIV/0!</v>
      </c>
      <c r="O18" s="546"/>
      <c r="P18" s="547" t="s">
        <v>467</v>
      </c>
    </row>
    <row r="19" spans="3:18" ht="18.600000000000001" customHeight="1" x14ac:dyDescent="0.3">
      <c r="C19" s="520" t="s">
        <v>198</v>
      </c>
      <c r="E19" s="576" t="e">
        <f>+SUM(E16:E18,E14)</f>
        <v>#REF!</v>
      </c>
      <c r="F19" s="577" t="e">
        <f>SUM(F14:F17)</f>
        <v>#DIV/0!</v>
      </c>
      <c r="G19" s="515"/>
      <c r="H19" s="538" t="e">
        <f>+SUM(H16:H18,H14)</f>
        <v>#REF!</v>
      </c>
      <c r="I19" s="578" t="e">
        <f>SUM(I14:I17)</f>
        <v>#DIV/0!</v>
      </c>
      <c r="K19" s="512"/>
      <c r="L19" s="558">
        <f>+SUM(L16:L18,M15)</f>
        <v>5.3000000000000005E-2</v>
      </c>
      <c r="M19" s="538">
        <f>+SUM(M16:M18,M14)</f>
        <v>0</v>
      </c>
      <c r="N19" s="578" t="e">
        <f>+M19/$C$4</f>
        <v>#DIV/0!</v>
      </c>
      <c r="P19" s="512"/>
    </row>
    <row r="20" spans="3:18" ht="1.95" customHeight="1" x14ac:dyDescent="0.3">
      <c r="C20" s="515"/>
      <c r="E20" s="549"/>
      <c r="F20" s="550"/>
      <c r="G20" s="515"/>
      <c r="H20" s="551"/>
      <c r="I20" s="552"/>
      <c r="K20" s="512"/>
      <c r="L20" s="579"/>
      <c r="M20" s="554"/>
      <c r="N20" s="512"/>
      <c r="P20" s="512"/>
    </row>
    <row r="21" spans="3:18" ht="18" customHeight="1" x14ac:dyDescent="0.3">
      <c r="C21" s="580" t="s">
        <v>216</v>
      </c>
      <c r="D21" s="581"/>
      <c r="E21" s="582" t="e">
        <f>+SUM(E12,E19)</f>
        <v>#REF!</v>
      </c>
      <c r="F21" s="583" t="e">
        <f>+E21/$C$4</f>
        <v>#REF!</v>
      </c>
      <c r="G21" s="515"/>
      <c r="H21" s="584" t="e">
        <f>+SUM(H12,H19)</f>
        <v>#REF!</v>
      </c>
      <c r="I21" s="585" t="e">
        <f>+H21/$C$4</f>
        <v>#REF!</v>
      </c>
      <c r="K21" s="512"/>
      <c r="L21" s="586"/>
      <c r="M21" s="587">
        <f>+SUM(M12,M19)</f>
        <v>0</v>
      </c>
      <c r="N21" s="585" t="e">
        <f>+M21/$C$4</f>
        <v>#DIV/0!</v>
      </c>
      <c r="O21" s="588"/>
      <c r="P21" s="589"/>
    </row>
    <row r="22" spans="3:18" ht="5.7" customHeight="1" x14ac:dyDescent="0.3">
      <c r="C22" s="515"/>
      <c r="E22" s="525"/>
      <c r="F22" s="590"/>
      <c r="G22" s="515"/>
      <c r="H22" s="515"/>
      <c r="I22" s="512"/>
      <c r="K22" s="512"/>
      <c r="L22" s="525"/>
      <c r="M22" s="554"/>
      <c r="N22" s="512"/>
      <c r="P22" s="512"/>
    </row>
    <row r="23" spans="3:18" ht="18" customHeight="1" outlineLevel="1" x14ac:dyDescent="0.3">
      <c r="C23" s="515" t="s">
        <v>239</v>
      </c>
      <c r="E23" s="549" cm="1">
        <f t="array" ref="E23">SUMPRODUCT(('Operating Budget - Monthly'!$E$29:$E$55=C23) * ('Operating Budget - Monthly'!$K$29:$V$55))</f>
        <v>0</v>
      </c>
      <c r="F23" s="550" t="e">
        <f t="shared" ref="F23:F42" si="1">+E23/$C$4</f>
        <v>#DIV/0!</v>
      </c>
      <c r="G23" s="515"/>
      <c r="H23" s="551" cm="1">
        <f t="array" ref="H23">IF(C23&gt;0,SUMPRODUCT(('Operating Budget - Monthly'!$E$29:$E$55=C23) * ('Operating Budget - Monthly'!$W$29:$AH$55)),0)</f>
        <v>0</v>
      </c>
      <c r="I23" s="552" t="e">
        <f t="shared" ref="I23:I42" si="2">+H23/$C$4</f>
        <v>#DIV/0!</v>
      </c>
      <c r="K23" s="512"/>
      <c r="L23" s="525"/>
      <c r="M23" s="591" cm="1">
        <f t="array" ref="M23">IF(C23&gt;0,SUMPRODUCT(('Operating Budget - Monthly'!$E$29:$E$55 =C23) * ('Operating Budget - Monthly'!$AF$29:$AH$55)) * 4,0)</f>
        <v>0</v>
      </c>
      <c r="N23" s="552" t="e">
        <f t="shared" ref="N23:N42" si="3">+M23/$C$4</f>
        <v>#DIV/0!</v>
      </c>
      <c r="O23" s="555"/>
      <c r="P23" s="556"/>
    </row>
    <row r="24" spans="3:18" ht="13.8" customHeight="1" outlineLevel="1" x14ac:dyDescent="0.3">
      <c r="C24" s="515" t="s">
        <v>246</v>
      </c>
      <c r="E24" s="549" cm="1">
        <f t="array" ref="E24">SUMPRODUCT(('Operating Budget - Monthly'!$E$29:$E$55=C24) * ('Operating Budget - Monthly'!$K$29:$V$55))</f>
        <v>0</v>
      </c>
      <c r="F24" s="550" t="e">
        <f t="shared" si="1"/>
        <v>#DIV/0!</v>
      </c>
      <c r="G24" s="515"/>
      <c r="H24" s="551" cm="1">
        <f t="array" ref="H24">IF(C24&gt;0,SUMPRODUCT(('Operating Budget - Monthly'!$E$29:$E$55=C24) * ('Operating Budget - Monthly'!$W$29:$AH$55)),0)</f>
        <v>0</v>
      </c>
      <c r="I24" s="552" t="e">
        <f t="shared" si="2"/>
        <v>#DIV/0!</v>
      </c>
      <c r="K24" s="512"/>
      <c r="L24" s="525"/>
      <c r="M24" s="591" cm="1">
        <f t="array" ref="M24">IF(C24&gt;0,SUMPRODUCT(('Operating Budget - Monthly'!$E$29:$E$55 =C24) * ('Operating Budget - Monthly'!$AF$29:$AH$55)) * 4,0)</f>
        <v>0</v>
      </c>
      <c r="N24" s="552" t="e">
        <f t="shared" si="3"/>
        <v>#DIV/0!</v>
      </c>
      <c r="O24" s="555"/>
      <c r="P24" s="556"/>
    </row>
    <row r="25" spans="3:18" outlineLevel="1" x14ac:dyDescent="0.3">
      <c r="C25" s="515" t="s">
        <v>458</v>
      </c>
      <c r="E25" s="549" cm="1">
        <f t="array" ref="E25">SUMPRODUCT(('Operating Budget - Monthly'!$E$29:$E$55=C25) * ('Operating Budget - Monthly'!$K$29:$V$55))</f>
        <v>0</v>
      </c>
      <c r="F25" s="550" t="e">
        <f t="shared" si="1"/>
        <v>#DIV/0!</v>
      </c>
      <c r="G25" s="515"/>
      <c r="H25" s="551" cm="1">
        <f t="array" ref="H25">IF(C25&gt;0,SUMPRODUCT(('Operating Budget - Monthly'!$E$29:$E$55=C25) * ('Operating Budget - Monthly'!$W$29:$AH$55)),0)</f>
        <v>0</v>
      </c>
      <c r="I25" s="552" t="e">
        <f t="shared" si="2"/>
        <v>#DIV/0!</v>
      </c>
      <c r="K25" s="512"/>
      <c r="L25" s="525"/>
      <c r="M25" s="591" cm="1">
        <f t="array" ref="M25">IF(C25&gt;0,SUMPRODUCT(('Operating Budget - Monthly'!$E$29:$E$55 =C25) * ('Operating Budget - Monthly'!$AF$29:$AH$55)) * 4,0)</f>
        <v>0</v>
      </c>
      <c r="N25" s="552" t="e">
        <f t="shared" si="3"/>
        <v>#DIV/0!</v>
      </c>
      <c r="O25" s="555"/>
      <c r="P25" s="556"/>
    </row>
    <row r="26" spans="3:18" outlineLevel="1" x14ac:dyDescent="0.3">
      <c r="C26" s="515" t="s">
        <v>243</v>
      </c>
      <c r="E26" s="549" cm="1">
        <f t="array" ref="E26">SUMPRODUCT(('Operating Budget - Monthly'!$E$29:$E$55=C26) * ('Operating Budget - Monthly'!$K$29:$V$55))</f>
        <v>0</v>
      </c>
      <c r="F26" s="550" t="e">
        <f t="shared" si="1"/>
        <v>#DIV/0!</v>
      </c>
      <c r="G26" s="515"/>
      <c r="H26" s="551" cm="1">
        <f t="array" ref="H26">IF(C26&gt;0,SUMPRODUCT(('Operating Budget - Monthly'!$E$29:$E$55=C26) * ('Operating Budget - Monthly'!$W$29:$AH$55)),0)</f>
        <v>0</v>
      </c>
      <c r="I26" s="552" t="e">
        <f t="shared" si="2"/>
        <v>#DIV/0!</v>
      </c>
      <c r="K26" s="512"/>
      <c r="L26" s="525"/>
      <c r="M26" s="591" cm="1">
        <f t="array" ref="M26">IF(C26&gt;0,SUMPRODUCT(('Operating Budget - Monthly'!$E$29:$E$55 =C26) * ('Operating Budget - Monthly'!$AF$29:$AH$55)) * 4,0)</f>
        <v>0</v>
      </c>
      <c r="N26" s="552" t="e">
        <f t="shared" si="3"/>
        <v>#DIV/0!</v>
      </c>
      <c r="O26" s="555"/>
      <c r="P26" s="556"/>
    </row>
    <row r="27" spans="3:18" outlineLevel="1" x14ac:dyDescent="0.3">
      <c r="C27" s="515" t="s">
        <v>244</v>
      </c>
      <c r="E27" s="549" cm="1">
        <f t="array" ref="E27">SUMPRODUCT(('Operating Budget - Monthly'!$E$29:$E$55=C27) * ('Operating Budget - Monthly'!$K$29:$V$55))</f>
        <v>0</v>
      </c>
      <c r="F27" s="550" t="e">
        <f t="shared" si="1"/>
        <v>#DIV/0!</v>
      </c>
      <c r="G27" s="515"/>
      <c r="H27" s="551" cm="1">
        <f t="array" ref="H27">IF(C27&gt;0,SUMPRODUCT(('Operating Budget - Monthly'!$E$29:$E$55=C27) * ('Operating Budget - Monthly'!$W$29:$AH$55)),0)</f>
        <v>0</v>
      </c>
      <c r="I27" s="552" t="e">
        <f t="shared" si="2"/>
        <v>#DIV/0!</v>
      </c>
      <c r="K27" s="512"/>
      <c r="L27" s="525"/>
      <c r="M27" s="591" cm="1">
        <f t="array" ref="M27">IF(C27&gt;0,SUMPRODUCT(('Operating Budget - Monthly'!$E$29:$E$55 =C27) * ('Operating Budget - Monthly'!$AF$29:$AH$55)) * 4,0)</f>
        <v>0</v>
      </c>
      <c r="N27" s="552" t="e">
        <f t="shared" si="3"/>
        <v>#DIV/0!</v>
      </c>
      <c r="O27" s="555"/>
      <c r="P27" s="556"/>
    </row>
    <row r="28" spans="3:18" outlineLevel="1" x14ac:dyDescent="0.3">
      <c r="C28" s="515" t="s">
        <v>241</v>
      </c>
      <c r="E28" s="549" cm="1">
        <f t="array" ref="E28">SUMPRODUCT(('Operating Budget - Monthly'!$E$29:$E$55=C28) * ('Operating Budget - Monthly'!$K$29:$V$55))</f>
        <v>0</v>
      </c>
      <c r="F28" s="550" t="e">
        <f t="shared" si="1"/>
        <v>#DIV/0!</v>
      </c>
      <c r="G28" s="515"/>
      <c r="H28" s="551" cm="1">
        <f t="array" ref="H28">IF(C28&gt;0,SUMPRODUCT(('Operating Budget - Monthly'!$E$29:$E$55=C28) * ('Operating Budget - Monthly'!$W$29:$AH$55)),0)</f>
        <v>0</v>
      </c>
      <c r="I28" s="552" t="e">
        <f t="shared" si="2"/>
        <v>#DIV/0!</v>
      </c>
      <c r="K28" s="512"/>
      <c r="L28" s="525"/>
      <c r="M28" s="591" cm="1">
        <f t="array" ref="M28">IF(C28&gt;0,SUMPRODUCT(('Operating Budget - Monthly'!$E$29:$E$55 =C28) * ('Operating Budget - Monthly'!$AF$29:$AH$55)) * 4,0)</f>
        <v>0</v>
      </c>
      <c r="N28" s="552" t="e">
        <f t="shared" si="3"/>
        <v>#DIV/0!</v>
      </c>
      <c r="O28" s="555"/>
      <c r="P28" s="556"/>
    </row>
    <row r="29" spans="3:18" outlineLevel="1" x14ac:dyDescent="0.3">
      <c r="C29" s="515" t="s">
        <v>62</v>
      </c>
      <c r="E29" s="549" cm="1">
        <f t="array" ref="E29">SUMPRODUCT(('Operating Budget - Monthly'!$E$29:$E$55=C29) * ('Operating Budget - Monthly'!$K$29:$V$55))</f>
        <v>0</v>
      </c>
      <c r="F29" s="550" t="e">
        <f t="shared" si="1"/>
        <v>#DIV/0!</v>
      </c>
      <c r="G29" s="515"/>
      <c r="H29" s="551" cm="1">
        <f t="array" ref="H29">IF(C29&gt;0,SUMPRODUCT(('Operating Budget - Monthly'!$E$29:$E$55=C29) * ('Operating Budget - Monthly'!$W$29:$AH$55)),0)</f>
        <v>0</v>
      </c>
      <c r="I29" s="552" t="e">
        <f t="shared" si="2"/>
        <v>#DIV/0!</v>
      </c>
      <c r="K29" s="512"/>
      <c r="L29" s="525"/>
      <c r="M29" s="591" cm="1">
        <f t="array" ref="M29">IF(C29&gt;0,SUMPRODUCT(('Operating Budget - Monthly'!$E$29:$E$55 =C29) * ('Operating Budget - Monthly'!$AF$29:$AH$55)) * 4,0)</f>
        <v>0</v>
      </c>
      <c r="N29" s="552" t="e">
        <f t="shared" si="3"/>
        <v>#DIV/0!</v>
      </c>
      <c r="O29" s="555"/>
      <c r="P29" s="556"/>
    </row>
    <row r="30" spans="3:18" outlineLevel="1" x14ac:dyDescent="0.3">
      <c r="C30" s="515" t="s">
        <v>57</v>
      </c>
      <c r="E30" s="549" cm="1">
        <f t="array" ref="E30">SUMPRODUCT(('Operating Budget - Monthly'!$E$29:$E$55=C30) * ('Operating Budget - Monthly'!$K$29:$V$55))</f>
        <v>0</v>
      </c>
      <c r="F30" s="550" t="e">
        <f t="shared" si="1"/>
        <v>#DIV/0!</v>
      </c>
      <c r="G30" s="515"/>
      <c r="H30" s="551" cm="1">
        <f t="array" ref="H30">IF(C30&gt;0,SUMPRODUCT(('Operating Budget - Monthly'!$E$29:$E$55=C30) * ('Operating Budget - Monthly'!$W$29:$AH$55)),0)</f>
        <v>0</v>
      </c>
      <c r="I30" s="552" t="e">
        <f t="shared" si="2"/>
        <v>#DIV/0!</v>
      </c>
      <c r="K30" s="512"/>
      <c r="L30" s="525"/>
      <c r="M30" s="591" cm="1">
        <f t="array" ref="M30">IF(C30&gt;0,SUMPRODUCT(('Operating Budget - Monthly'!$E$29:$E$55 =C30) * ('Operating Budget - Monthly'!$AF$29:$AH$55)) * 4,0)</f>
        <v>0</v>
      </c>
      <c r="N30" s="552" t="e">
        <f t="shared" si="3"/>
        <v>#DIV/0!</v>
      </c>
      <c r="O30" s="555"/>
      <c r="P30" s="556"/>
    </row>
    <row r="31" spans="3:18" outlineLevel="1" x14ac:dyDescent="0.3">
      <c r="C31" s="515" t="s">
        <v>53</v>
      </c>
      <c r="E31" s="549" cm="1">
        <f t="array" ref="E31">SUMPRODUCT(('Operating Budget - Monthly'!$E$29:$E$55=C31) * ('Operating Budget - Monthly'!$K$29:$V$55))</f>
        <v>0</v>
      </c>
      <c r="F31" s="550" t="e">
        <f t="shared" si="1"/>
        <v>#DIV/0!</v>
      </c>
      <c r="G31" s="515"/>
      <c r="H31" s="551" cm="1">
        <f t="array" ref="H31">IF(C31&gt;0,SUMPRODUCT(('Operating Budget - Monthly'!$E$29:$E$55=C31) * ('Operating Budget - Monthly'!$W$29:$AH$55)),0)</f>
        <v>0</v>
      </c>
      <c r="I31" s="552" t="e">
        <f t="shared" si="2"/>
        <v>#DIV/0!</v>
      </c>
      <c r="K31" s="512"/>
      <c r="L31" s="525"/>
      <c r="M31" s="591" cm="1">
        <f t="array" ref="M31">IF(C31&gt;0,SUMPRODUCT(('Operating Budget - Monthly'!$E$29:$E$55 =C31) * ('Operating Budget - Monthly'!$AF$29:$AH$55)) * 4,0)</f>
        <v>0</v>
      </c>
      <c r="N31" s="552" t="e">
        <f t="shared" si="3"/>
        <v>#DIV/0!</v>
      </c>
      <c r="O31" s="555"/>
      <c r="P31" s="556"/>
    </row>
    <row r="32" spans="3:18" outlineLevel="1" x14ac:dyDescent="0.3">
      <c r="C32" s="515" t="s">
        <v>54</v>
      </c>
      <c r="E32" s="549" cm="1">
        <f t="array" ref="E32">SUMPRODUCT(('Operating Budget - Monthly'!$E$29:$E$55=C32) * ('Operating Budget - Monthly'!$K$29:$V$55))</f>
        <v>0</v>
      </c>
      <c r="F32" s="550" t="e">
        <f t="shared" si="1"/>
        <v>#DIV/0!</v>
      </c>
      <c r="G32" s="515"/>
      <c r="H32" s="551" cm="1">
        <f t="array" ref="H32">IF(C32&gt;0,SUMPRODUCT(('Operating Budget - Monthly'!$E$29:$E$55=C32) * ('Operating Budget - Monthly'!$W$29:$AH$55)),0)</f>
        <v>0</v>
      </c>
      <c r="I32" s="552" t="e">
        <f t="shared" si="2"/>
        <v>#DIV/0!</v>
      </c>
      <c r="K32" s="512"/>
      <c r="L32" s="525"/>
      <c r="M32" s="591" cm="1">
        <f t="array" ref="M32">IF(C32&gt;0,SUMPRODUCT(('Operating Budget - Monthly'!$E$29:$E$55 =C32) * ('Operating Budget - Monthly'!$AF$29:$AH$55)) * 4,0)</f>
        <v>0</v>
      </c>
      <c r="N32" s="552" t="e">
        <f t="shared" si="3"/>
        <v>#DIV/0!</v>
      </c>
      <c r="O32" s="555"/>
      <c r="P32" s="556"/>
    </row>
    <row r="33" spans="3:18" outlineLevel="1" x14ac:dyDescent="0.3">
      <c r="C33" s="515" t="s">
        <v>60</v>
      </c>
      <c r="E33" s="549" cm="1">
        <f t="array" ref="E33">SUMPRODUCT(('Operating Budget - Monthly'!$E$29:$E$55=C33) * ('Operating Budget - Monthly'!$K$29:$V$55))</f>
        <v>0</v>
      </c>
      <c r="F33" s="550" t="e">
        <f t="shared" si="1"/>
        <v>#DIV/0!</v>
      </c>
      <c r="G33" s="515"/>
      <c r="H33" s="551" cm="1">
        <f t="array" ref="H33">IF(C33&gt;0,SUMPRODUCT(('Operating Budget - Monthly'!$E$29:$E$55=C33) * ('Operating Budget - Monthly'!$W$29:$AH$55)),0)</f>
        <v>0</v>
      </c>
      <c r="I33" s="552" t="e">
        <f t="shared" si="2"/>
        <v>#DIV/0!</v>
      </c>
      <c r="K33" s="512"/>
      <c r="L33" s="525"/>
      <c r="M33" s="591" cm="1">
        <f t="array" ref="M33">IF(C33&gt;0,SUMPRODUCT(('Operating Budget - Monthly'!$E$29:$E$55 =C33) * ('Operating Budget - Monthly'!$AF$29:$AH$55)) * 4,0)</f>
        <v>0</v>
      </c>
      <c r="N33" s="552" t="e">
        <f t="shared" si="3"/>
        <v>#DIV/0!</v>
      </c>
      <c r="O33" s="555"/>
      <c r="P33" s="556"/>
    </row>
    <row r="34" spans="3:18" outlineLevel="1" x14ac:dyDescent="0.3">
      <c r="C34" s="515" t="s">
        <v>461</v>
      </c>
      <c r="E34" s="549" cm="1">
        <f t="array" ref="E34">SUMPRODUCT(('Operating Budget - Monthly'!$E$29:$E$55=C34) * ('Operating Budget - Monthly'!$K$29:$V$55))</f>
        <v>0</v>
      </c>
      <c r="F34" s="550" t="e">
        <f t="shared" si="1"/>
        <v>#DIV/0!</v>
      </c>
      <c r="G34" s="515"/>
      <c r="H34" s="551" cm="1">
        <f t="array" ref="H34">IF(C34&gt;0,SUMPRODUCT(('Operating Budget - Monthly'!$E$29:$E$55=C34) * ('Operating Budget - Monthly'!$W$29:$AH$55)),0)</f>
        <v>0</v>
      </c>
      <c r="I34" s="552" t="e">
        <f t="shared" si="2"/>
        <v>#DIV/0!</v>
      </c>
      <c r="K34" s="512"/>
      <c r="L34" s="525"/>
      <c r="M34" s="591" cm="1">
        <f t="array" ref="M34">IF(C34&gt;0,SUMPRODUCT(('Operating Budget - Monthly'!$E$29:$E$55 =C34) * ('Operating Budget - Monthly'!$AF$29:$AH$55)) * 4,0)</f>
        <v>0</v>
      </c>
      <c r="N34" s="552" t="e">
        <f t="shared" si="3"/>
        <v>#DIV/0!</v>
      </c>
      <c r="O34" s="555"/>
      <c r="P34" s="556"/>
    </row>
    <row r="35" spans="3:18" outlineLevel="1" x14ac:dyDescent="0.3">
      <c r="C35" s="515"/>
      <c r="E35" s="549" cm="1">
        <f t="array" ref="E35">SUMPRODUCT(('Operating Budget - Monthly'!$E$29:$E$55=C35) * ('Operating Budget - Monthly'!$K$29:$V$55))</f>
        <v>0</v>
      </c>
      <c r="F35" s="550" t="e">
        <f t="shared" si="1"/>
        <v>#DIV/0!</v>
      </c>
      <c r="G35" s="515"/>
      <c r="H35" s="551" cm="1">
        <f t="array" ref="H35">IF(C35&gt;0,SUMPRODUCT(('Operating Budget - Monthly'!$E$29:$E$55=C35) * ('Operating Budget - Monthly'!$W$29:$AH$55)),0)</f>
        <v>0</v>
      </c>
      <c r="I35" s="552" t="e">
        <f t="shared" si="2"/>
        <v>#DIV/0!</v>
      </c>
      <c r="K35" s="512"/>
      <c r="L35" s="525"/>
      <c r="M35" s="591" cm="1">
        <f t="array" ref="M35">IF(C35&gt;0,SUMPRODUCT(('Operating Budget - Monthly'!$E$29:$E$55 =C35) * ('Operating Budget - Monthly'!$AF$29:$AH$55)) * 4,0)</f>
        <v>0</v>
      </c>
      <c r="N35" s="552" t="e">
        <f t="shared" si="3"/>
        <v>#DIV/0!</v>
      </c>
      <c r="O35" s="555"/>
      <c r="P35" s="556"/>
    </row>
    <row r="36" spans="3:18" outlineLevel="1" x14ac:dyDescent="0.3">
      <c r="C36" s="515"/>
      <c r="E36" s="549" cm="1">
        <f t="array" ref="E36">SUMPRODUCT(('Operating Budget - Monthly'!$E$29:$E$55=C36) * ('Operating Budget - Monthly'!$K$29:$V$55))</f>
        <v>0</v>
      </c>
      <c r="F36" s="550" t="e">
        <f t="shared" si="1"/>
        <v>#DIV/0!</v>
      </c>
      <c r="G36" s="515"/>
      <c r="H36" s="551" cm="1">
        <f t="array" ref="H36">IF(C36&gt;0,SUMPRODUCT(('Operating Budget - Monthly'!$E$29:$E$55=C36) * ('Operating Budget - Monthly'!$W$29:$AH$55)),0)</f>
        <v>0</v>
      </c>
      <c r="I36" s="552" t="e">
        <f t="shared" si="2"/>
        <v>#DIV/0!</v>
      </c>
      <c r="K36" s="512"/>
      <c r="L36" s="525"/>
      <c r="M36" s="591" cm="1">
        <f t="array" ref="M36">IF(C36&gt;0,SUMPRODUCT(('Operating Budget - Monthly'!$E$29:$E$55 =C36) * ('Operating Budget - Monthly'!$AF$29:$AH$55)) * 4,0)</f>
        <v>0</v>
      </c>
      <c r="N36" s="552" t="e">
        <f t="shared" si="3"/>
        <v>#DIV/0!</v>
      </c>
      <c r="O36" s="555"/>
      <c r="P36" s="556"/>
    </row>
    <row r="37" spans="3:18" outlineLevel="1" x14ac:dyDescent="0.3">
      <c r="C37" s="515"/>
      <c r="E37" s="549" cm="1">
        <f t="array" ref="E37">SUMPRODUCT(('Operating Budget - Monthly'!$E$29:$E$55=C37) * ('Operating Budget - Monthly'!$K$29:$V$55))</f>
        <v>0</v>
      </c>
      <c r="F37" s="550" t="e">
        <f t="shared" si="1"/>
        <v>#DIV/0!</v>
      </c>
      <c r="G37" s="515"/>
      <c r="H37" s="551" cm="1">
        <f t="array" ref="H37">IF(C37&gt;0,SUMPRODUCT(('Operating Budget - Monthly'!$E$29:$E$55=C37) * ('Operating Budget - Monthly'!$W$29:$AH$55)),0)</f>
        <v>0</v>
      </c>
      <c r="I37" s="552" t="e">
        <f t="shared" si="2"/>
        <v>#DIV/0!</v>
      </c>
      <c r="K37" s="512"/>
      <c r="L37" s="525"/>
      <c r="M37" s="591" cm="1">
        <f t="array" ref="M37">IF(C37&gt;0,SUMPRODUCT(('Operating Budget - Monthly'!$E$29:$E$55 =C37) * ('Operating Budget - Monthly'!$AF$29:$AH$55)) * 4,0)</f>
        <v>0</v>
      </c>
      <c r="N37" s="552" t="e">
        <f t="shared" si="3"/>
        <v>#DIV/0!</v>
      </c>
      <c r="O37" s="555"/>
      <c r="P37" s="556"/>
    </row>
    <row r="38" spans="3:18" outlineLevel="1" x14ac:dyDescent="0.3">
      <c r="C38" s="515"/>
      <c r="E38" s="549" cm="1">
        <f t="array" ref="E38">SUMPRODUCT(('Operating Budget - Monthly'!$E$29:$E$55=C38) * ('Operating Budget - Monthly'!$K$29:$V$55))</f>
        <v>0</v>
      </c>
      <c r="F38" s="550" t="e">
        <f t="shared" si="1"/>
        <v>#DIV/0!</v>
      </c>
      <c r="G38" s="515"/>
      <c r="H38" s="551" cm="1">
        <f t="array" ref="H38">IF(C38&gt;0,SUMPRODUCT(('Operating Budget - Monthly'!$E$29:$E$55=C38) * ('Operating Budget - Monthly'!$W$29:$AH$55)),0)</f>
        <v>0</v>
      </c>
      <c r="I38" s="552" t="e">
        <f t="shared" si="2"/>
        <v>#DIV/0!</v>
      </c>
      <c r="K38" s="512"/>
      <c r="L38" s="525"/>
      <c r="M38" s="591" cm="1">
        <f t="array" ref="M38">IF(C38&gt;0,SUMPRODUCT(('Operating Budget - Monthly'!$E$29:$E$55 =C38) * ('Operating Budget - Monthly'!$AF$29:$AH$55)) * 4,0)</f>
        <v>0</v>
      </c>
      <c r="N38" s="552" t="e">
        <f t="shared" si="3"/>
        <v>#DIV/0!</v>
      </c>
      <c r="O38" s="555"/>
      <c r="P38" s="556"/>
    </row>
    <row r="39" spans="3:18" outlineLevel="1" x14ac:dyDescent="0.3">
      <c r="C39" s="515"/>
      <c r="E39" s="549" cm="1">
        <f t="array" ref="E39">SUMPRODUCT(('Operating Budget - Monthly'!$E$29:$E$55=C39) * ('Operating Budget - Monthly'!$K$29:$V$55))</f>
        <v>0</v>
      </c>
      <c r="F39" s="550" t="e">
        <f t="shared" si="1"/>
        <v>#DIV/0!</v>
      </c>
      <c r="G39" s="515"/>
      <c r="H39" s="551" cm="1">
        <f t="array" ref="H39">IF(C39&gt;0,SUMPRODUCT(('Operating Budget - Monthly'!$E$29:$E$55=C39) * ('Operating Budget - Monthly'!$W$29:$AH$55)),0)</f>
        <v>0</v>
      </c>
      <c r="I39" s="552" t="e">
        <f t="shared" si="2"/>
        <v>#DIV/0!</v>
      </c>
      <c r="K39" s="512"/>
      <c r="L39" s="525"/>
      <c r="M39" s="591" cm="1">
        <f t="array" ref="M39">IF(C39&gt;0,SUMPRODUCT(('Operating Budget - Monthly'!$E$29:$E$55 =C39) * ('Operating Budget - Monthly'!$AF$29:$AH$55)) * 4,0)</f>
        <v>0</v>
      </c>
      <c r="N39" s="552" t="e">
        <f t="shared" si="3"/>
        <v>#DIV/0!</v>
      </c>
      <c r="O39" s="555"/>
      <c r="P39" s="556"/>
    </row>
    <row r="40" spans="3:18" outlineLevel="1" x14ac:dyDescent="0.3">
      <c r="C40" s="515"/>
      <c r="E40" s="549" cm="1">
        <f t="array" ref="E40">SUMPRODUCT(('Operating Budget - Monthly'!$E$29:$E$55=C40) * ('Operating Budget - Monthly'!$K$29:$V$55))</f>
        <v>0</v>
      </c>
      <c r="F40" s="550" t="e">
        <f t="shared" si="1"/>
        <v>#DIV/0!</v>
      </c>
      <c r="G40" s="515"/>
      <c r="H40" s="551" cm="1">
        <f t="array" ref="H40">IF(C40&gt;0,SUMPRODUCT(('Operating Budget - Monthly'!$E$29:$E$55=C40) * ('Operating Budget - Monthly'!$W$29:$AH$55)),0)</f>
        <v>0</v>
      </c>
      <c r="I40" s="552" t="e">
        <f t="shared" si="2"/>
        <v>#DIV/0!</v>
      </c>
      <c r="K40" s="512"/>
      <c r="L40" s="525"/>
      <c r="M40" s="591" cm="1">
        <f t="array" ref="M40">IF(C40&gt;0,SUMPRODUCT(('Operating Budget - Monthly'!$E$29:$E$55 =C40) * ('Operating Budget - Monthly'!$AF$29:$AH$55)) * 4,0)</f>
        <v>0</v>
      </c>
      <c r="N40" s="552" t="e">
        <f t="shared" si="3"/>
        <v>#DIV/0!</v>
      </c>
      <c r="O40" s="555"/>
      <c r="P40" s="556"/>
    </row>
    <row r="41" spans="3:18" outlineLevel="1" x14ac:dyDescent="0.3">
      <c r="C41" s="515"/>
      <c r="E41" s="549" cm="1">
        <f t="array" ref="E41">SUMPRODUCT(('Operating Budget - Monthly'!$E$29:$E$55=C41) * ('Operating Budget - Monthly'!$K$29:$V$55))</f>
        <v>0</v>
      </c>
      <c r="F41" s="550" t="e">
        <f t="shared" si="1"/>
        <v>#DIV/0!</v>
      </c>
      <c r="G41" s="515"/>
      <c r="H41" s="551" cm="1">
        <f t="array" ref="H41">IF(C41&gt;0,SUMPRODUCT(('Operating Budget - Monthly'!$E$29:$E$55=C41) * ('Operating Budget - Monthly'!$W$29:$AH$55)),0)</f>
        <v>0</v>
      </c>
      <c r="I41" s="552" t="e">
        <f t="shared" si="2"/>
        <v>#DIV/0!</v>
      </c>
      <c r="K41" s="512"/>
      <c r="L41" s="525"/>
      <c r="M41" s="591" cm="1">
        <f t="array" ref="M41">IF(C41&gt;0,SUMPRODUCT(('Operating Budget - Monthly'!$E$29:$E$55 =C41) * ('Operating Budget - Monthly'!$AF$29:$AH$55)) * 4,0)</f>
        <v>0</v>
      </c>
      <c r="N41" s="552" t="e">
        <f t="shared" si="3"/>
        <v>#DIV/0!</v>
      </c>
      <c r="O41" s="555"/>
      <c r="P41" s="592"/>
      <c r="R41" s="504"/>
    </row>
    <row r="42" spans="3:18" x14ac:dyDescent="0.3">
      <c r="C42" s="580" t="s">
        <v>73</v>
      </c>
      <c r="D42" s="581"/>
      <c r="E42" s="582">
        <f>SUM(E23:E41)</f>
        <v>0</v>
      </c>
      <c r="F42" s="583" t="e">
        <f t="shared" si="1"/>
        <v>#DIV/0!</v>
      </c>
      <c r="G42" s="515"/>
      <c r="H42" s="584">
        <f>SUM(H23:H41)</f>
        <v>0</v>
      </c>
      <c r="I42" s="585" t="e">
        <f t="shared" si="2"/>
        <v>#DIV/0!</v>
      </c>
      <c r="K42" s="512"/>
      <c r="L42" s="586"/>
      <c r="M42" s="587">
        <f>SUM(M23:M41)</f>
        <v>0</v>
      </c>
      <c r="N42" s="585" t="e">
        <f t="shared" si="3"/>
        <v>#DIV/0!</v>
      </c>
      <c r="O42" s="593"/>
      <c r="P42" s="594" t="s">
        <v>468</v>
      </c>
    </row>
    <row r="43" spans="3:18" ht="9" customHeight="1" x14ac:dyDescent="0.3">
      <c r="C43" s="515"/>
      <c r="E43" s="525"/>
      <c r="F43" s="590"/>
      <c r="G43" s="515"/>
      <c r="H43" s="515"/>
      <c r="I43" s="512"/>
      <c r="K43" s="512"/>
      <c r="L43" s="525"/>
      <c r="M43" s="595"/>
      <c r="N43" s="512"/>
      <c r="P43" s="512"/>
    </row>
    <row r="44" spans="3:18" x14ac:dyDescent="0.3">
      <c r="C44" s="596" t="s">
        <v>217</v>
      </c>
      <c r="D44" s="593"/>
      <c r="E44" s="597" t="e">
        <f>+E21+E42</f>
        <v>#REF!</v>
      </c>
      <c r="F44" s="598" t="e">
        <f>+F21+F42</f>
        <v>#REF!</v>
      </c>
      <c r="G44" s="515"/>
      <c r="H44" s="599" t="e">
        <f>+H21+H42</f>
        <v>#REF!</v>
      </c>
      <c r="I44" s="600" t="e">
        <f>+I21+I42</f>
        <v>#REF!</v>
      </c>
      <c r="K44" s="512"/>
      <c r="L44" s="586"/>
      <c r="M44" s="601">
        <f>+M21+M42</f>
        <v>0</v>
      </c>
      <c r="N44" s="600" t="e">
        <f>+M44/$C$4</f>
        <v>#DIV/0!</v>
      </c>
      <c r="O44" s="588"/>
      <c r="P44" s="602"/>
    </row>
    <row r="45" spans="3:18" ht="12" customHeight="1" x14ac:dyDescent="0.3">
      <c r="C45" s="515"/>
      <c r="E45" s="525"/>
      <c r="F45" s="590"/>
      <c r="G45" s="515"/>
      <c r="H45" s="515"/>
      <c r="I45" s="512"/>
      <c r="K45" s="512"/>
      <c r="L45" s="525"/>
      <c r="M45" s="595"/>
      <c r="N45" s="512"/>
      <c r="P45" s="512"/>
    </row>
    <row r="46" spans="3:18" x14ac:dyDescent="0.3">
      <c r="C46" s="791" t="s">
        <v>76</v>
      </c>
      <c r="D46" s="792"/>
      <c r="E46" s="586"/>
      <c r="F46" s="603"/>
      <c r="G46" s="515"/>
      <c r="H46" s="604"/>
      <c r="I46" s="589"/>
      <c r="K46" s="512"/>
      <c r="L46" s="586"/>
      <c r="M46" s="605"/>
      <c r="N46" s="589"/>
      <c r="O46" s="588"/>
      <c r="P46" s="589"/>
    </row>
    <row r="47" spans="3:18" ht="3.6" customHeight="1" x14ac:dyDescent="0.3">
      <c r="C47" s="515"/>
      <c r="E47" s="525"/>
      <c r="F47" s="590"/>
      <c r="G47" s="515"/>
      <c r="H47" s="515"/>
      <c r="I47" s="512"/>
      <c r="K47" s="512"/>
      <c r="L47" s="525"/>
      <c r="M47" s="595"/>
      <c r="N47" s="512"/>
      <c r="P47" s="512"/>
    </row>
    <row r="48" spans="3:18" outlineLevel="1" x14ac:dyDescent="0.3">
      <c r="C48" s="515" t="s">
        <v>359</v>
      </c>
      <c r="E48" s="606" cm="1">
        <f t="array" ref="E48">SUMPRODUCT(('Operating Budget - Monthly'!$E$62:$E$68=C48) * ('Operating Budget - Monthly'!$K$62:$V$68))</f>
        <v>18836.666666666668</v>
      </c>
      <c r="F48" s="607" t="e">
        <f t="shared" ref="F48:F53" si="4">+E48/$C$4</f>
        <v>#DIV/0!</v>
      </c>
      <c r="G48" s="515"/>
      <c r="H48" s="608" cm="1">
        <f t="array" ref="H48">SUMPRODUCT(('Operating Budget - Monthly'!$E$62:$E$68=C48) * ('Operating Budget - Monthly'!$W$62:$AH$68))</f>
        <v>0</v>
      </c>
      <c r="I48" s="609" t="e">
        <f t="shared" ref="I48:I53" si="5">+H48/$C$4</f>
        <v>#DIV/0!</v>
      </c>
      <c r="K48" s="512"/>
      <c r="L48" s="525"/>
      <c r="M48" s="591">
        <f>'Payroll Schedule'!G21</f>
        <v>226040</v>
      </c>
      <c r="N48" s="552" t="e">
        <f>+M48/$C$4</f>
        <v>#DIV/0!</v>
      </c>
      <c r="O48" s="555"/>
      <c r="P48" s="556"/>
      <c r="R48" s="610"/>
    </row>
    <row r="49" spans="3:16" outlineLevel="1" x14ac:dyDescent="0.3">
      <c r="C49" s="515" t="s">
        <v>181</v>
      </c>
      <c r="E49" s="606" cm="1">
        <f t="array" ref="E49">SUMPRODUCT(('Operating Budget - Monthly'!$E$62:$E$68=C49) * ('Operating Budget - Monthly'!$K$62:$V$68))</f>
        <v>0</v>
      </c>
      <c r="F49" s="607" t="e">
        <f t="shared" si="4"/>
        <v>#DIV/0!</v>
      </c>
      <c r="G49" s="515"/>
      <c r="H49" s="608" cm="1">
        <f t="array" ref="H49">SUMPRODUCT(('Operating Budget - Monthly'!$E$62:$E$68=C49) * ('Operating Budget - Monthly'!$W$62:$AH$68))</f>
        <v>0</v>
      </c>
      <c r="I49" s="609" t="e">
        <f t="shared" si="5"/>
        <v>#DIV/0!</v>
      </c>
      <c r="K49" s="512"/>
      <c r="L49" s="525"/>
      <c r="M49" s="591">
        <f>'Payroll Schedule'!G34</f>
        <v>198640</v>
      </c>
      <c r="N49" s="552" t="e">
        <f>+M49/$C$4</f>
        <v>#DIV/0!</v>
      </c>
      <c r="O49" s="555"/>
      <c r="P49" s="556"/>
    </row>
    <row r="50" spans="3:16" outlineLevel="1" x14ac:dyDescent="0.3">
      <c r="C50" s="515" t="s">
        <v>229</v>
      </c>
      <c r="E50" s="606" cm="1">
        <f t="array" ref="E50">SUMPRODUCT(('Operating Budget - Monthly'!$E$62:$E$68=C50) * ('Operating Budget - Monthly'!$K$62:$V$68))</f>
        <v>0</v>
      </c>
      <c r="F50" s="607" t="e">
        <f t="shared" si="4"/>
        <v>#DIV/0!</v>
      </c>
      <c r="G50" s="515"/>
      <c r="H50" s="608" cm="1">
        <f t="array" ref="H50">SUMPRODUCT(('Operating Budget - Monthly'!$E$62:$E$68=C50) * ('Operating Budget - Monthly'!$W$62:$AH$68))</f>
        <v>0</v>
      </c>
      <c r="I50" s="609" t="e">
        <f t="shared" si="5"/>
        <v>#DIV/0!</v>
      </c>
      <c r="K50" s="512"/>
      <c r="L50" s="525"/>
      <c r="M50" s="591">
        <f>SUM('Payroll Schedule'!H21,'Payroll Schedule'!H34)</f>
        <v>106170</v>
      </c>
      <c r="N50" s="552" t="e">
        <f t="shared" ref="N50:N51" si="6">+M50/$C$4</f>
        <v>#DIV/0!</v>
      </c>
      <c r="O50" s="555"/>
      <c r="P50" s="556"/>
    </row>
    <row r="51" spans="3:16" outlineLevel="1" x14ac:dyDescent="0.3">
      <c r="C51" s="515" t="s">
        <v>357</v>
      </c>
      <c r="E51" s="606" cm="1">
        <f t="array" ref="E51">SUMPRODUCT(('Operating Budget - Monthly'!$E$62:$E$68=C51) * ('Operating Budget - Monthly'!$K$62:$V$68))</f>
        <v>0</v>
      </c>
      <c r="F51" s="607" t="e">
        <f t="shared" si="4"/>
        <v>#DIV/0!</v>
      </c>
      <c r="G51" s="515"/>
      <c r="H51" s="608" cm="1">
        <f t="array" ref="H51">SUMPRODUCT(('Operating Budget - Monthly'!$E$62:$E$68=C51) * ('Operating Budget - Monthly'!$W$62:$AH$68))</f>
        <v>0</v>
      </c>
      <c r="I51" s="609" t="e">
        <f t="shared" si="5"/>
        <v>#DIV/0!</v>
      </c>
      <c r="K51" s="512"/>
      <c r="L51" s="525"/>
      <c r="M51" s="591">
        <f>'Payroll Schedule'!F40</f>
        <v>0</v>
      </c>
      <c r="N51" s="552" t="e">
        <f t="shared" si="6"/>
        <v>#DIV/0!</v>
      </c>
      <c r="O51" s="555"/>
      <c r="P51" s="556"/>
    </row>
    <row r="52" spans="3:16" outlineLevel="1" x14ac:dyDescent="0.3">
      <c r="C52" s="515"/>
      <c r="E52" s="606" cm="1">
        <f t="array" ref="E52">SUMPRODUCT(('Operating Budget - Monthly'!$E$62:$E$68=C52) * ('Operating Budget - Monthly'!$K$62:$V$68))</f>
        <v>0</v>
      </c>
      <c r="F52" s="607" t="e">
        <f t="shared" si="4"/>
        <v>#DIV/0!</v>
      </c>
      <c r="G52" s="515"/>
      <c r="H52" s="608" cm="1">
        <f t="array" ref="H52">SUMPRODUCT(('Operating Budget - Monthly'!$E$62:$E$68=C52) * ('Operating Budget - Monthly'!$W$62:$AH$68))</f>
        <v>0</v>
      </c>
      <c r="I52" s="609" t="e">
        <f t="shared" si="5"/>
        <v>#DIV/0!</v>
      </c>
      <c r="K52" s="512"/>
      <c r="L52" s="525"/>
      <c r="M52" s="591">
        <v>0</v>
      </c>
      <c r="N52" s="552" t="e">
        <f>+M52/$C$4</f>
        <v>#DIV/0!</v>
      </c>
      <c r="O52" s="555"/>
      <c r="P52" s="556"/>
    </row>
    <row r="53" spans="3:16" s="506" customFormat="1" x14ac:dyDescent="0.3">
      <c r="C53" s="580" t="s">
        <v>184</v>
      </c>
      <c r="D53" s="581"/>
      <c r="E53" s="582">
        <f>SUM(E48:E52)</f>
        <v>18836.666666666668</v>
      </c>
      <c r="F53" s="583" t="e">
        <f t="shared" si="4"/>
        <v>#DIV/0!</v>
      </c>
      <c r="G53" s="520"/>
      <c r="H53" s="584">
        <f>SUM(H48:H52)</f>
        <v>0</v>
      </c>
      <c r="I53" s="585" t="e">
        <f t="shared" si="5"/>
        <v>#DIV/0!</v>
      </c>
      <c r="K53" s="611"/>
      <c r="L53" s="612"/>
      <c r="M53" s="587">
        <f>SUM(M48:M52)</f>
        <v>530850</v>
      </c>
      <c r="N53" s="613" t="e">
        <f>+M53/C4</f>
        <v>#DIV/0!</v>
      </c>
      <c r="O53" s="614"/>
      <c r="P53" s="594" t="s">
        <v>469</v>
      </c>
    </row>
    <row r="54" spans="3:16" ht="9.6" customHeight="1" x14ac:dyDescent="0.3">
      <c r="C54" s="515"/>
      <c r="E54" s="525"/>
      <c r="F54" s="550"/>
      <c r="G54" s="515"/>
      <c r="H54" s="515"/>
      <c r="I54" s="552"/>
      <c r="K54" s="512"/>
      <c r="L54" s="525"/>
      <c r="M54" s="595"/>
      <c r="N54" s="512"/>
      <c r="P54" s="512"/>
    </row>
    <row r="55" spans="3:16" outlineLevel="1" x14ac:dyDescent="0.3">
      <c r="C55" s="515" t="s">
        <v>161</v>
      </c>
      <c r="E55" s="606" cm="1">
        <f t="array" ref="E55">SUMPRODUCT(('Operating Budget - Monthly'!$E$71:$E$80=C55) * ('Operating Budget - Monthly'!$K$71:$V$80))</f>
        <v>0</v>
      </c>
      <c r="F55" s="607" t="e">
        <f t="shared" ref="F55:F61" si="7">+E55/$C$4</f>
        <v>#DIV/0!</v>
      </c>
      <c r="G55" s="515"/>
      <c r="H55" s="608" cm="1">
        <f t="array" ref="H55">SUMPRODUCT(('Operating Budget - Monthly'!$E$71:$E$80=C55) * ('Operating Budget - Monthly'!$W$71:$AH$80))</f>
        <v>0</v>
      </c>
      <c r="I55" s="609" t="e">
        <f t="shared" ref="I55:I61" si="8">+H55/$C$4</f>
        <v>#DIV/0!</v>
      </c>
      <c r="K55" s="512"/>
      <c r="L55" s="525"/>
      <c r="M55" s="591">
        <f>H55</f>
        <v>0</v>
      </c>
      <c r="N55" s="552" t="e">
        <f t="shared" ref="N55:N61" si="9">+M55/$C$4</f>
        <v>#DIV/0!</v>
      </c>
      <c r="O55" s="555"/>
      <c r="P55" s="556"/>
    </row>
    <row r="56" spans="3:16" outlineLevel="1" x14ac:dyDescent="0.3">
      <c r="C56" s="515"/>
      <c r="E56" s="606" cm="1">
        <f t="array" ref="E56">SUMPRODUCT(('Operating Budget - Monthly'!$E$71:$E$80=C56) * ('Operating Budget - Monthly'!$K$71:$V$80))</f>
        <v>0</v>
      </c>
      <c r="F56" s="607" t="e">
        <f t="shared" si="7"/>
        <v>#DIV/0!</v>
      </c>
      <c r="G56" s="515"/>
      <c r="H56" s="608" cm="1">
        <f t="array" ref="H56">SUMPRODUCT(('Operating Budget - Monthly'!$E$71:$E$80=C56) * ('Operating Budget - Monthly'!$W$71:$AH$80))</f>
        <v>0</v>
      </c>
      <c r="I56" s="609" t="e">
        <f t="shared" si="8"/>
        <v>#DIV/0!</v>
      </c>
      <c r="K56" s="512"/>
      <c r="L56" s="525"/>
      <c r="M56" s="591">
        <f t="shared" ref="M56:M63" si="10">H56</f>
        <v>0</v>
      </c>
      <c r="N56" s="552" t="e">
        <f t="shared" si="9"/>
        <v>#DIV/0!</v>
      </c>
      <c r="O56" s="555"/>
      <c r="P56" s="556"/>
    </row>
    <row r="57" spans="3:16" outlineLevel="1" x14ac:dyDescent="0.3">
      <c r="C57" s="515"/>
      <c r="E57" s="606" cm="1">
        <f t="array" ref="E57">SUMPRODUCT(('Operating Budget - Monthly'!$E$71:$E$80=C57) * ('Operating Budget - Monthly'!$K$71:$V$80))</f>
        <v>0</v>
      </c>
      <c r="F57" s="607" t="e">
        <f t="shared" si="7"/>
        <v>#DIV/0!</v>
      </c>
      <c r="G57" s="515"/>
      <c r="H57" s="608" cm="1">
        <f t="array" ref="H57">SUMPRODUCT(('Operating Budget - Monthly'!$E$71:$E$80=C57) * ('Operating Budget - Monthly'!$W$71:$AH$80))</f>
        <v>0</v>
      </c>
      <c r="I57" s="609" t="e">
        <f t="shared" si="8"/>
        <v>#DIV/0!</v>
      </c>
      <c r="K57" s="512"/>
      <c r="L57" s="525"/>
      <c r="M57" s="591">
        <f t="shared" si="10"/>
        <v>0</v>
      </c>
      <c r="N57" s="552" t="e">
        <f t="shared" si="9"/>
        <v>#DIV/0!</v>
      </c>
      <c r="O57" s="555"/>
      <c r="P57" s="556"/>
    </row>
    <row r="58" spans="3:16" outlineLevel="1" x14ac:dyDescent="0.3">
      <c r="C58" s="515"/>
      <c r="E58" s="606" cm="1">
        <f t="array" ref="E58">SUMPRODUCT(('Operating Budget - Monthly'!$E$71:$E$80=C58) * ('Operating Budget - Monthly'!$K$71:$V$80))</f>
        <v>0</v>
      </c>
      <c r="F58" s="607" t="e">
        <f t="shared" si="7"/>
        <v>#DIV/0!</v>
      </c>
      <c r="G58" s="515"/>
      <c r="H58" s="608" cm="1">
        <f t="array" ref="H58">SUMPRODUCT(('Operating Budget - Monthly'!$E$71:$E$80=C58) * ('Operating Budget - Monthly'!$W$71:$AH$80))</f>
        <v>0</v>
      </c>
      <c r="I58" s="609" t="e">
        <f t="shared" si="8"/>
        <v>#DIV/0!</v>
      </c>
      <c r="K58" s="512"/>
      <c r="L58" s="525"/>
      <c r="M58" s="591">
        <f t="shared" si="10"/>
        <v>0</v>
      </c>
      <c r="N58" s="552" t="e">
        <f t="shared" si="9"/>
        <v>#DIV/0!</v>
      </c>
      <c r="O58" s="555"/>
      <c r="P58" s="556"/>
    </row>
    <row r="59" spans="3:16" outlineLevel="1" x14ac:dyDescent="0.3">
      <c r="C59" s="515"/>
      <c r="E59" s="606" cm="1">
        <f t="array" ref="E59">SUMPRODUCT(('Operating Budget - Monthly'!$E$71:$E$80=C59) * ('Operating Budget - Monthly'!$K$71:$V$80))</f>
        <v>0</v>
      </c>
      <c r="F59" s="607" t="e">
        <f t="shared" si="7"/>
        <v>#DIV/0!</v>
      </c>
      <c r="G59" s="515"/>
      <c r="H59" s="608" cm="1">
        <f t="array" ref="H59">SUMPRODUCT(('Operating Budget - Monthly'!$E$71:$E$80=C59) * ('Operating Budget - Monthly'!$W$71:$AH$80))</f>
        <v>0</v>
      </c>
      <c r="I59" s="609" t="e">
        <f t="shared" si="8"/>
        <v>#DIV/0!</v>
      </c>
      <c r="K59" s="512"/>
      <c r="L59" s="525"/>
      <c r="M59" s="591">
        <f t="shared" si="10"/>
        <v>0</v>
      </c>
      <c r="N59" s="552" t="e">
        <f t="shared" si="9"/>
        <v>#DIV/0!</v>
      </c>
      <c r="O59" s="555"/>
      <c r="P59" s="556"/>
    </row>
    <row r="60" spans="3:16" outlineLevel="1" x14ac:dyDescent="0.3">
      <c r="C60" s="515"/>
      <c r="E60" s="606" cm="1">
        <f t="array" ref="E60">SUMPRODUCT(('Operating Budget - Monthly'!$E$71:$E$80=C60) * ('Operating Budget - Monthly'!$K$71:$V$80))</f>
        <v>0</v>
      </c>
      <c r="F60" s="607" t="e">
        <f t="shared" si="7"/>
        <v>#DIV/0!</v>
      </c>
      <c r="G60" s="515"/>
      <c r="H60" s="608" cm="1">
        <f t="array" ref="H60">SUMPRODUCT(('Operating Budget - Monthly'!$E$71:$E$80=C60) * ('Operating Budget - Monthly'!$W$71:$AH$80))</f>
        <v>0</v>
      </c>
      <c r="I60" s="609" t="e">
        <f t="shared" si="8"/>
        <v>#DIV/0!</v>
      </c>
      <c r="K60" s="512"/>
      <c r="L60" s="525"/>
      <c r="M60" s="591">
        <f t="shared" si="10"/>
        <v>0</v>
      </c>
      <c r="N60" s="552" t="e">
        <f t="shared" si="9"/>
        <v>#DIV/0!</v>
      </c>
      <c r="O60" s="555"/>
      <c r="P60" s="556"/>
    </row>
    <row r="61" spans="3:16" outlineLevel="1" x14ac:dyDescent="0.3">
      <c r="C61" s="515"/>
      <c r="E61" s="606" cm="1">
        <f t="array" ref="E61">SUMPRODUCT(('Operating Budget - Monthly'!$E$71:$E$80=C61) * ('Operating Budget - Monthly'!$K$71:$V$80))</f>
        <v>0</v>
      </c>
      <c r="F61" s="607" t="e">
        <f t="shared" si="7"/>
        <v>#DIV/0!</v>
      </c>
      <c r="G61" s="515"/>
      <c r="H61" s="608" cm="1">
        <f t="array" ref="H61">SUMPRODUCT(('Operating Budget - Monthly'!$E$71:$E$80=C61) * ('Operating Budget - Monthly'!$W$71:$AH$80))</f>
        <v>0</v>
      </c>
      <c r="I61" s="609" t="e">
        <f t="shared" si="8"/>
        <v>#DIV/0!</v>
      </c>
      <c r="K61" s="512"/>
      <c r="L61" s="525"/>
      <c r="M61" s="591">
        <f t="shared" si="10"/>
        <v>0</v>
      </c>
      <c r="N61" s="552" t="e">
        <f t="shared" si="9"/>
        <v>#DIV/0!</v>
      </c>
      <c r="O61" s="555"/>
      <c r="P61" s="556"/>
    </row>
    <row r="62" spans="3:16" outlineLevel="1" x14ac:dyDescent="0.3">
      <c r="C62" s="515"/>
      <c r="E62" s="606" cm="1">
        <f t="array" ref="E62">SUMPRODUCT(('Operating Budget - Monthly'!$E$71:$E$80=C62) * ('Operating Budget - Monthly'!$K$71:$V$80))</f>
        <v>0</v>
      </c>
      <c r="F62" s="607" t="e">
        <f>+E62/$C$4</f>
        <v>#DIV/0!</v>
      </c>
      <c r="G62" s="515"/>
      <c r="H62" s="608" cm="1">
        <f t="array" ref="H62">SUMPRODUCT(('Operating Budget - Monthly'!$E$71:$E$80=C62) * ('Operating Budget - Monthly'!$W$71:$AH$80))</f>
        <v>0</v>
      </c>
      <c r="I62" s="609" t="e">
        <f>+H62/$C$4</f>
        <v>#DIV/0!</v>
      </c>
      <c r="K62" s="512"/>
      <c r="L62" s="525"/>
      <c r="M62" s="591">
        <f t="shared" si="10"/>
        <v>0</v>
      </c>
      <c r="N62" s="552" t="e">
        <f>+M62/$C$4</f>
        <v>#DIV/0!</v>
      </c>
      <c r="O62" s="555"/>
      <c r="P62" s="556"/>
    </row>
    <row r="63" spans="3:16" outlineLevel="1" x14ac:dyDescent="0.3">
      <c r="C63" s="515"/>
      <c r="E63" s="606" cm="1">
        <f t="array" ref="E63">SUMPRODUCT(('Operating Budget - Monthly'!$E$71:$E$80=C63) * ('Operating Budget - Monthly'!$K$71:$V$80))</f>
        <v>0</v>
      </c>
      <c r="F63" s="607" t="e">
        <f t="shared" ref="F63:F64" si="11">+E63/$C$4</f>
        <v>#DIV/0!</v>
      </c>
      <c r="G63" s="515"/>
      <c r="H63" s="608" cm="1">
        <f t="array" ref="H63">SUMPRODUCT(('Operating Budget - Monthly'!$E$71:$E$80=C63) * ('Operating Budget - Monthly'!$W$71:$AH$80))</f>
        <v>0</v>
      </c>
      <c r="I63" s="609" t="e">
        <f t="shared" ref="I63:I64" si="12">+H63/$C$4</f>
        <v>#DIV/0!</v>
      </c>
      <c r="K63" s="512"/>
      <c r="L63" s="525"/>
      <c r="M63" s="591">
        <f t="shared" si="10"/>
        <v>0</v>
      </c>
      <c r="N63" s="552" t="e">
        <f t="shared" ref="N63" si="13">+M63/$C$4</f>
        <v>#DIV/0!</v>
      </c>
      <c r="O63" s="555"/>
      <c r="P63" s="556"/>
    </row>
    <row r="64" spans="3:16" s="506" customFormat="1" x14ac:dyDescent="0.3">
      <c r="C64" s="580" t="s">
        <v>185</v>
      </c>
      <c r="D64" s="581"/>
      <c r="E64" s="582">
        <f>SUM(E55:E63)</f>
        <v>0</v>
      </c>
      <c r="F64" s="583" t="e">
        <f t="shared" si="11"/>
        <v>#DIV/0!</v>
      </c>
      <c r="G64" s="520"/>
      <c r="H64" s="584">
        <f>SUM(H55:H63)</f>
        <v>0</v>
      </c>
      <c r="I64" s="585" t="e">
        <f t="shared" si="12"/>
        <v>#DIV/0!</v>
      </c>
      <c r="K64" s="611"/>
      <c r="L64" s="612"/>
      <c r="M64" s="587">
        <f>SUM(M55:M63)</f>
        <v>0</v>
      </c>
      <c r="N64" s="613" t="e">
        <f>+M64/$C$4</f>
        <v>#DIV/0!</v>
      </c>
      <c r="O64" s="614"/>
      <c r="P64" s="594" t="s">
        <v>470</v>
      </c>
    </row>
    <row r="65" spans="1:18" ht="9.6" customHeight="1" x14ac:dyDescent="0.3">
      <c r="C65" s="515"/>
      <c r="E65" s="525"/>
      <c r="F65" s="550"/>
      <c r="G65" s="515"/>
      <c r="H65" s="551"/>
      <c r="I65" s="552"/>
      <c r="K65" s="512"/>
      <c r="L65" s="525"/>
      <c r="M65" s="595"/>
      <c r="N65" s="615"/>
      <c r="P65" s="512"/>
    </row>
    <row r="66" spans="1:18" outlineLevel="1" x14ac:dyDescent="0.3">
      <c r="C66" s="515" t="s">
        <v>166</v>
      </c>
      <c r="E66" s="606" t="e" cm="1">
        <f t="array" ref="E66">SUMPRODUCT(('Operating Budget - Monthly'!$E$83:$E$87=C66) * ('Operating Budget - Monthly'!$K$83:$V$87))</f>
        <v>#REF!</v>
      </c>
      <c r="F66" s="607" t="e">
        <f>+E66/$C$4</f>
        <v>#REF!</v>
      </c>
      <c r="G66" s="515"/>
      <c r="H66" s="608" t="e" cm="1">
        <f t="array" ref="H66">SUMPRODUCT(('Operating Budget - Monthly'!$E$83:$E$87=C66) * ('Operating Budget - Monthly'!$W$83:$AH$87))</f>
        <v>#REF!</v>
      </c>
      <c r="I66" s="609" t="e">
        <f>+H66/$C$4</f>
        <v>#REF!</v>
      </c>
      <c r="K66" s="512"/>
      <c r="L66" s="525"/>
      <c r="M66" s="591">
        <f>SUMIF('Marketing Stack'!$B$6:$B$41,C66,'Marketing Stack'!$Q$6:$Q$41)</f>
        <v>70632</v>
      </c>
      <c r="N66" s="552" t="e">
        <f>+M66/$C$4</f>
        <v>#DIV/0!</v>
      </c>
      <c r="O66" s="555"/>
      <c r="P66" s="556"/>
    </row>
    <row r="67" spans="1:18" outlineLevel="1" x14ac:dyDescent="0.3">
      <c r="C67" s="515" t="s">
        <v>167</v>
      </c>
      <c r="E67" s="606" t="e" cm="1">
        <f t="array" ref="E67">SUMPRODUCT(('Operating Budget - Monthly'!$E$83:$E$87=C67) * ('Operating Budget - Monthly'!$K$83:$V$87))</f>
        <v>#REF!</v>
      </c>
      <c r="F67" s="607" t="e">
        <f t="shared" ref="F67:F69" si="14">+E67/$C$4</f>
        <v>#REF!</v>
      </c>
      <c r="G67" s="515"/>
      <c r="H67" s="608" t="e" cm="1">
        <f t="array" ref="H67">SUMPRODUCT(('Operating Budget - Monthly'!$E$83:$E$87=C67) * ('Operating Budget - Monthly'!$W$83:$AH$87))</f>
        <v>#REF!</v>
      </c>
      <c r="I67" s="609" t="e">
        <f t="shared" ref="I67:I70" si="15">+H67/$C$4</f>
        <v>#REF!</v>
      </c>
      <c r="K67" s="512"/>
      <c r="L67" s="525"/>
      <c r="M67" s="591">
        <f>SUMIF('Marketing Stack'!$B$6:$B$41,C67,'Marketing Stack'!$Q$6:$Q$41)</f>
        <v>6000</v>
      </c>
      <c r="N67" s="552" t="e">
        <f>+M67/$C$4</f>
        <v>#DIV/0!</v>
      </c>
      <c r="O67" s="555"/>
      <c r="P67" s="556"/>
    </row>
    <row r="68" spans="1:18" outlineLevel="1" x14ac:dyDescent="0.3">
      <c r="C68" s="515" t="s">
        <v>169</v>
      </c>
      <c r="E68" s="606" t="e" cm="1">
        <f t="array" ref="E68">SUMPRODUCT(('Operating Budget - Monthly'!$E$83:$E$87=C68) * ('Operating Budget - Monthly'!$K$83:$V$87))</f>
        <v>#REF!</v>
      </c>
      <c r="F68" s="607" t="e">
        <f t="shared" si="14"/>
        <v>#REF!</v>
      </c>
      <c r="G68" s="515"/>
      <c r="H68" s="608" t="e" cm="1">
        <f t="array" ref="H68">SUMPRODUCT(('Operating Budget - Monthly'!$E$83:$E$87=C68) * ('Operating Budget - Monthly'!$W$83:$AH$87))</f>
        <v>#REF!</v>
      </c>
      <c r="I68" s="609" t="e">
        <f t="shared" si="15"/>
        <v>#REF!</v>
      </c>
      <c r="K68" s="512"/>
      <c r="L68" s="525"/>
      <c r="M68" s="591">
        <f>SUMIF('Marketing Stack'!$B$6:$B$41,C68,'Marketing Stack'!$Q$6:$Q$41)</f>
        <v>0</v>
      </c>
      <c r="N68" s="552" t="e">
        <f t="shared" ref="N68:N69" si="16">+M68/$C$4</f>
        <v>#DIV/0!</v>
      </c>
      <c r="O68" s="555"/>
      <c r="P68" s="556"/>
    </row>
    <row r="69" spans="1:18" outlineLevel="1" x14ac:dyDescent="0.3">
      <c r="C69" s="515" t="s">
        <v>168</v>
      </c>
      <c r="E69" s="606" t="e" cm="1">
        <f t="array" ref="E69">SUMPRODUCT(('Operating Budget - Monthly'!$E$83:$E$87=C69) * ('Operating Budget - Monthly'!$K$83:$V$87))</f>
        <v>#REF!</v>
      </c>
      <c r="F69" s="607" t="e">
        <f t="shared" si="14"/>
        <v>#REF!</v>
      </c>
      <c r="G69" s="515"/>
      <c r="H69" s="608" t="e" cm="1">
        <f t="array" ref="H69">SUMPRODUCT(('Operating Budget - Monthly'!$E$83:$E$87=C69) * ('Operating Budget - Monthly'!$W$83:$AH$87))</f>
        <v>#REF!</v>
      </c>
      <c r="I69" s="609" t="e">
        <f t="shared" si="15"/>
        <v>#REF!</v>
      </c>
      <c r="K69" s="512"/>
      <c r="L69" s="525"/>
      <c r="M69" s="591">
        <f>SUMIF('Marketing Stack'!$B$6:$B$41,C69,'Marketing Stack'!$Q$6:$Q$41)</f>
        <v>15000</v>
      </c>
      <c r="N69" s="552" t="e">
        <f t="shared" si="16"/>
        <v>#DIV/0!</v>
      </c>
      <c r="O69" s="555"/>
      <c r="P69" s="556"/>
    </row>
    <row r="70" spans="1:18" outlineLevel="1" x14ac:dyDescent="0.3">
      <c r="A70" s="616"/>
      <c r="C70" s="515"/>
      <c r="E70" s="606" t="e" cm="1">
        <f t="array" ref="E70">SUMPRODUCT(('Operating Budget - Monthly'!$E$83:$E$87=C70) * ('Operating Budget - Monthly'!$K$83:$V$87))</f>
        <v>#REF!</v>
      </c>
      <c r="F70" s="607" t="e">
        <f>+E70/$C$4</f>
        <v>#REF!</v>
      </c>
      <c r="G70" s="515"/>
      <c r="H70" s="608" t="e" cm="1">
        <f t="array" ref="H70">SUMPRODUCT(('Operating Budget - Monthly'!$E$83:$E$87=C70) * ('Operating Budget - Monthly'!$W$83:$AH$87))</f>
        <v>#REF!</v>
      </c>
      <c r="I70" s="609" t="e">
        <f t="shared" si="15"/>
        <v>#REF!</v>
      </c>
      <c r="K70" s="512"/>
      <c r="L70" s="525"/>
      <c r="M70" s="591">
        <f>SUMIF('Marketing Stack'!$B$6:$B$41,C70,'Marketing Stack'!$Q$6:$Q$41)</f>
        <v>0</v>
      </c>
      <c r="N70" s="552" t="e">
        <f>+M70/$C$4</f>
        <v>#DIV/0!</v>
      </c>
      <c r="O70" s="555"/>
      <c r="P70" s="556"/>
    </row>
    <row r="71" spans="1:18" x14ac:dyDescent="0.3">
      <c r="C71" s="580" t="s">
        <v>186</v>
      </c>
      <c r="D71" s="581"/>
      <c r="E71" s="582" t="e">
        <f>SUM(E66:E70)</f>
        <v>#REF!</v>
      </c>
      <c r="F71" s="583" t="e">
        <f>+E71/$C$4</f>
        <v>#REF!</v>
      </c>
      <c r="G71" s="520"/>
      <c r="H71" s="584" t="e">
        <f>SUM(H66:H70)</f>
        <v>#REF!</v>
      </c>
      <c r="I71" s="585" t="e">
        <f>+H71/$C$4</f>
        <v>#REF!</v>
      </c>
      <c r="K71" s="512"/>
      <c r="L71" s="586"/>
      <c r="M71" s="587">
        <f>SUM(M66:M70)</f>
        <v>91632</v>
      </c>
      <c r="N71" s="613" t="e">
        <f>+M71/C4</f>
        <v>#DIV/0!</v>
      </c>
      <c r="O71" s="593"/>
      <c r="P71" s="594" t="s">
        <v>471</v>
      </c>
    </row>
    <row r="72" spans="1:18" ht="8.6999999999999993" customHeight="1" x14ac:dyDescent="0.3">
      <c r="C72" s="515"/>
      <c r="E72" s="525"/>
      <c r="F72" s="550"/>
      <c r="G72" s="515"/>
      <c r="H72" s="551"/>
      <c r="I72" s="552"/>
      <c r="K72" s="512"/>
      <c r="L72" s="525"/>
      <c r="M72" s="595"/>
      <c r="N72" s="615"/>
      <c r="P72" s="512"/>
    </row>
    <row r="73" spans="1:18" outlineLevel="1" x14ac:dyDescent="0.3">
      <c r="C73" s="515"/>
      <c r="E73" s="606" cm="1">
        <f t="array" ref="E73">SUMPRODUCT(('Operating Budget - Monthly'!$E$90:$E$95=C73) * ('Operating Budget - Monthly'!$K$90:$V$95))</f>
        <v>0</v>
      </c>
      <c r="F73" s="607" t="e">
        <f>+E73/$C$4</f>
        <v>#DIV/0!</v>
      </c>
      <c r="G73" s="515"/>
      <c r="H73" s="608" cm="1">
        <f t="array" ref="H73">SUMPRODUCT(('Operating Budget - Monthly'!$E$90:$E$95=C73) * ('Operating Budget - Monthly'!$W$90:$AH$95))</f>
        <v>0</v>
      </c>
      <c r="I73" s="609" t="e">
        <f>+H73/$C$4</f>
        <v>#DIV/0!</v>
      </c>
      <c r="K73" s="512"/>
      <c r="L73" s="525"/>
      <c r="M73" s="591">
        <f>H73</f>
        <v>0</v>
      </c>
      <c r="N73" s="552" t="e">
        <f>+M73/$C$4</f>
        <v>#DIV/0!</v>
      </c>
      <c r="O73" s="555"/>
      <c r="P73" s="556"/>
      <c r="R73" s="504"/>
    </row>
    <row r="74" spans="1:18" outlineLevel="1" x14ac:dyDescent="0.3">
      <c r="C74" s="515"/>
      <c r="E74" s="606" cm="1">
        <f t="array" ref="E74">SUMPRODUCT(('Operating Budget - Monthly'!$E$90:$E$95=C74) * ('Operating Budget - Monthly'!$K$90:$V$95))</f>
        <v>0</v>
      </c>
      <c r="F74" s="607" t="e">
        <f>+E74/$C$4</f>
        <v>#DIV/0!</v>
      </c>
      <c r="G74" s="515"/>
      <c r="H74" s="608" cm="1">
        <f t="array" ref="H74">SUMPRODUCT(('Operating Budget - Monthly'!$E$90:$E$95=C74) * ('Operating Budget - Monthly'!$W$90:$AH$95))</f>
        <v>0</v>
      </c>
      <c r="I74" s="609" t="e">
        <f>+H74/$C$4</f>
        <v>#DIV/0!</v>
      </c>
      <c r="K74" s="512"/>
      <c r="L74" s="525"/>
      <c r="M74" s="591">
        <f t="shared" ref="M74:M80" si="17">H74</f>
        <v>0</v>
      </c>
      <c r="N74" s="552" t="e">
        <f t="shared" ref="N74:N79" si="18">+M74/$C$4</f>
        <v>#DIV/0!</v>
      </c>
      <c r="O74" s="555"/>
      <c r="P74" s="556"/>
      <c r="R74" s="504"/>
    </row>
    <row r="75" spans="1:18" outlineLevel="1" x14ac:dyDescent="0.3">
      <c r="C75" s="515"/>
      <c r="E75" s="606" cm="1">
        <f t="array" ref="E75">SUMPRODUCT(('Operating Budget - Monthly'!$E$90:$E$95=C75) * ('Operating Budget - Monthly'!$K$90:$V$95))</f>
        <v>0</v>
      </c>
      <c r="F75" s="607" t="e">
        <f>+E75/$C$4</f>
        <v>#DIV/0!</v>
      </c>
      <c r="G75" s="515"/>
      <c r="H75" s="608" cm="1">
        <f t="array" ref="H75">SUMPRODUCT(('Operating Budget - Monthly'!$E$90:$E$95=C75) * ('Operating Budget - Monthly'!$W$90:$AH$95))</f>
        <v>0</v>
      </c>
      <c r="I75" s="609" t="e">
        <f>+H75/$C$4</f>
        <v>#DIV/0!</v>
      </c>
      <c r="K75" s="512"/>
      <c r="L75" s="525"/>
      <c r="M75" s="591">
        <f t="shared" si="17"/>
        <v>0</v>
      </c>
      <c r="N75" s="552" t="e">
        <f t="shared" si="18"/>
        <v>#DIV/0!</v>
      </c>
      <c r="O75" s="555"/>
      <c r="P75" s="556"/>
      <c r="R75" s="504"/>
    </row>
    <row r="76" spans="1:18" outlineLevel="1" x14ac:dyDescent="0.3">
      <c r="C76" s="515"/>
      <c r="E76" s="606" cm="1">
        <f t="array" ref="E76">SUMPRODUCT(('Operating Budget - Monthly'!$E$90:$E$95=C76) * ('Operating Budget - Monthly'!$K$90:$V$95))</f>
        <v>0</v>
      </c>
      <c r="F76" s="607" t="e">
        <f>+E76/$C$4</f>
        <v>#DIV/0!</v>
      </c>
      <c r="G76" s="515"/>
      <c r="H76" s="608" cm="1">
        <f t="array" ref="H76">SUMPRODUCT(('Operating Budget - Monthly'!$E$90:$E$95=C76) * ('Operating Budget - Monthly'!$W$90:$AH$95))</f>
        <v>0</v>
      </c>
      <c r="I76" s="609" t="e">
        <f>+H76/$C$4</f>
        <v>#DIV/0!</v>
      </c>
      <c r="K76" s="512"/>
      <c r="L76" s="525"/>
      <c r="M76" s="591">
        <f t="shared" si="17"/>
        <v>0</v>
      </c>
      <c r="N76" s="552" t="e">
        <f t="shared" si="18"/>
        <v>#DIV/0!</v>
      </c>
      <c r="O76" s="555"/>
      <c r="P76" s="556"/>
      <c r="R76" s="504"/>
    </row>
    <row r="77" spans="1:18" outlineLevel="1" x14ac:dyDescent="0.3">
      <c r="C77" s="515"/>
      <c r="E77" s="606" cm="1">
        <f t="array" ref="E77">SUMPRODUCT(('Operating Budget - Monthly'!$E$90:$E$95=C77) * ('Operating Budget - Monthly'!$K$90:$V$95))</f>
        <v>0</v>
      </c>
      <c r="F77" s="607" t="e">
        <f>+E77/$C$4</f>
        <v>#DIV/0!</v>
      </c>
      <c r="G77" s="515"/>
      <c r="H77" s="608" cm="1">
        <f t="array" ref="H77">SUMPRODUCT(('Operating Budget - Monthly'!$E$90:$E$95=C77) * ('Operating Budget - Monthly'!$W$90:$AH$95))</f>
        <v>0</v>
      </c>
      <c r="I77" s="609" t="e">
        <f t="shared" ref="I77:I79" si="19">+H77/$C$4</f>
        <v>#DIV/0!</v>
      </c>
      <c r="K77" s="512"/>
      <c r="L77" s="525"/>
      <c r="M77" s="591">
        <f t="shared" si="17"/>
        <v>0</v>
      </c>
      <c r="N77" s="552" t="e">
        <f t="shared" si="18"/>
        <v>#DIV/0!</v>
      </c>
      <c r="O77" s="555"/>
      <c r="P77" s="556"/>
      <c r="R77" s="504"/>
    </row>
    <row r="78" spans="1:18" outlineLevel="1" x14ac:dyDescent="0.3">
      <c r="C78" s="515"/>
      <c r="E78" s="606" cm="1">
        <f t="array" ref="E78">SUMPRODUCT(('Operating Budget - Monthly'!$E$90:$E$95=C78) * ('Operating Budget - Monthly'!$K$90:$V$95))</f>
        <v>0</v>
      </c>
      <c r="F78" s="607" t="e">
        <f t="shared" ref="F78:F79" si="20">+E78/$C$4</f>
        <v>#DIV/0!</v>
      </c>
      <c r="G78" s="515"/>
      <c r="H78" s="608" cm="1">
        <f t="array" ref="H78">SUMPRODUCT(('Operating Budget - Monthly'!$E$90:$E$95=C78) * ('Operating Budget - Monthly'!$W$90:$AH$95))</f>
        <v>0</v>
      </c>
      <c r="I78" s="609" t="e">
        <f t="shared" si="19"/>
        <v>#DIV/0!</v>
      </c>
      <c r="K78" s="512"/>
      <c r="L78" s="525"/>
      <c r="M78" s="591">
        <f t="shared" si="17"/>
        <v>0</v>
      </c>
      <c r="N78" s="552" t="e">
        <f t="shared" si="18"/>
        <v>#DIV/0!</v>
      </c>
      <c r="O78" s="555"/>
      <c r="P78" s="556"/>
      <c r="R78" s="504"/>
    </row>
    <row r="79" spans="1:18" outlineLevel="1" x14ac:dyDescent="0.3">
      <c r="C79" s="515"/>
      <c r="E79" s="606" cm="1">
        <f t="array" ref="E79">SUMPRODUCT(('Operating Budget - Monthly'!$E$90:$E$95=C79) * ('Operating Budget - Monthly'!$K$90:$V$95))</f>
        <v>0</v>
      </c>
      <c r="F79" s="607" t="e">
        <f t="shared" si="20"/>
        <v>#DIV/0!</v>
      </c>
      <c r="G79" s="515"/>
      <c r="H79" s="608" cm="1">
        <f t="array" ref="H79">SUMPRODUCT(('Operating Budget - Monthly'!$E$90:$E$95=C79) * ('Operating Budget - Monthly'!$W$90:$AH$95))</f>
        <v>0</v>
      </c>
      <c r="I79" s="609" t="e">
        <f t="shared" si="19"/>
        <v>#DIV/0!</v>
      </c>
      <c r="K79" s="512"/>
      <c r="L79" s="525"/>
      <c r="M79" s="591">
        <f t="shared" si="17"/>
        <v>0</v>
      </c>
      <c r="N79" s="552" t="e">
        <f t="shared" si="18"/>
        <v>#DIV/0!</v>
      </c>
      <c r="O79" s="555"/>
      <c r="P79" s="556"/>
      <c r="R79" s="504"/>
    </row>
    <row r="80" spans="1:18" outlineLevel="1" x14ac:dyDescent="0.3">
      <c r="C80" s="515"/>
      <c r="E80" s="606" cm="1">
        <f t="array" ref="E80">SUMPRODUCT(('Operating Budget - Monthly'!$E$90:$E$95=C80) * ('Operating Budget - Monthly'!$K$90:$V$95))</f>
        <v>0</v>
      </c>
      <c r="F80" s="607" t="e">
        <f>+E80/$C$4</f>
        <v>#DIV/0!</v>
      </c>
      <c r="G80" s="515"/>
      <c r="H80" s="608" cm="1">
        <f t="array" ref="H80">SUMPRODUCT(('Operating Budget - Monthly'!$E$90:$E$95=C80) * ('Operating Budget - Monthly'!$W$90:$AH$95))</f>
        <v>0</v>
      </c>
      <c r="I80" s="609" t="e">
        <f>+H80/$C$4</f>
        <v>#DIV/0!</v>
      </c>
      <c r="K80" s="512"/>
      <c r="L80" s="525"/>
      <c r="M80" s="591">
        <f t="shared" si="17"/>
        <v>0</v>
      </c>
      <c r="N80" s="552" t="e">
        <f>+M80/$C$4</f>
        <v>#DIV/0!</v>
      </c>
      <c r="O80" s="555"/>
      <c r="P80" s="556"/>
      <c r="R80" s="504"/>
    </row>
    <row r="81" spans="3:20" x14ac:dyDescent="0.3">
      <c r="C81" s="580" t="s">
        <v>187</v>
      </c>
      <c r="D81" s="581"/>
      <c r="E81" s="582">
        <f>SUM(E73:E80)</f>
        <v>0</v>
      </c>
      <c r="F81" s="583" t="e">
        <f>+E81/$C$4</f>
        <v>#DIV/0!</v>
      </c>
      <c r="G81" s="520"/>
      <c r="H81" s="584">
        <f>SUM(H73:H80)</f>
        <v>0</v>
      </c>
      <c r="I81" s="585" t="e">
        <f>+H81/$C$4</f>
        <v>#DIV/0!</v>
      </c>
      <c r="K81" s="512"/>
      <c r="L81" s="586"/>
      <c r="M81" s="587">
        <f>SUM(M73:M80)</f>
        <v>0</v>
      </c>
      <c r="N81" s="613" t="e">
        <f>+M81/C4</f>
        <v>#DIV/0!</v>
      </c>
      <c r="O81" s="593"/>
      <c r="P81" s="594" t="s">
        <v>472</v>
      </c>
    </row>
    <row r="82" spans="3:20" ht="10.199999999999999" customHeight="1" x14ac:dyDescent="0.3">
      <c r="C82" s="515"/>
      <c r="E82" s="525"/>
      <c r="F82" s="550"/>
      <c r="G82" s="515"/>
      <c r="H82" s="551"/>
      <c r="I82" s="552"/>
      <c r="K82" s="512"/>
      <c r="L82" s="525"/>
      <c r="M82" s="595"/>
      <c r="N82" s="512"/>
      <c r="P82" s="512"/>
    </row>
    <row r="83" spans="3:20" outlineLevel="1" x14ac:dyDescent="0.3">
      <c r="C83" s="515"/>
      <c r="E83" s="606">
        <f>SUM('Operating Budget - Monthly'!K95:V96)</f>
        <v>0</v>
      </c>
      <c r="F83" s="607" t="e">
        <f t="shared" ref="F83:F88" si="21">+E83/$C$4</f>
        <v>#DIV/0!</v>
      </c>
      <c r="G83" s="515"/>
      <c r="H83" s="608">
        <f>SUM('Operating Budget - Monthly'!W95:AH96)</f>
        <v>0</v>
      </c>
      <c r="I83" s="609" t="e">
        <f t="shared" ref="I83:I88" si="22">+H83/$C$4</f>
        <v>#DIV/0!</v>
      </c>
      <c r="K83" s="512"/>
      <c r="L83" s="525"/>
      <c r="M83" s="591">
        <f>H83</f>
        <v>0</v>
      </c>
      <c r="N83" s="552" t="e">
        <f t="shared" ref="N83:N87" si="23">+M83/$C$4</f>
        <v>#DIV/0!</v>
      </c>
      <c r="O83" s="555"/>
      <c r="P83" s="556"/>
      <c r="T83" s="504"/>
    </row>
    <row r="84" spans="3:20" outlineLevel="1" x14ac:dyDescent="0.3">
      <c r="C84" s="515"/>
      <c r="E84" s="606">
        <f>+SUM('Operating Budget - Monthly'!K98:V98)</f>
        <v>0</v>
      </c>
      <c r="F84" s="607" t="e">
        <f t="shared" si="21"/>
        <v>#DIV/0!</v>
      </c>
      <c r="G84" s="515"/>
      <c r="H84" s="608">
        <f>+SUM('Operating Budget - Monthly'!W98:AH98)</f>
        <v>0</v>
      </c>
      <c r="I84" s="609" t="e">
        <f t="shared" si="22"/>
        <v>#DIV/0!</v>
      </c>
      <c r="K84" s="512"/>
      <c r="L84" s="525"/>
      <c r="M84" s="591">
        <f t="shared" ref="M84:M87" si="24">H84</f>
        <v>0</v>
      </c>
      <c r="N84" s="552" t="e">
        <f t="shared" si="23"/>
        <v>#DIV/0!</v>
      </c>
      <c r="O84" s="555"/>
      <c r="P84" s="556"/>
    </row>
    <row r="85" spans="3:20" outlineLevel="1" x14ac:dyDescent="0.3">
      <c r="C85" s="515"/>
      <c r="E85" s="606">
        <f>+SUM('Operating Budget - Monthly'!K99:V99)</f>
        <v>0</v>
      </c>
      <c r="F85" s="607" t="e">
        <f t="shared" si="21"/>
        <v>#DIV/0!</v>
      </c>
      <c r="G85" s="515"/>
      <c r="H85" s="608">
        <f>+SUM('Operating Budget - Monthly'!W99:AH99)</f>
        <v>0</v>
      </c>
      <c r="I85" s="609" t="e">
        <f t="shared" si="22"/>
        <v>#DIV/0!</v>
      </c>
      <c r="K85" s="512"/>
      <c r="L85" s="525"/>
      <c r="M85" s="591">
        <f t="shared" si="24"/>
        <v>0</v>
      </c>
      <c r="N85" s="552" t="e">
        <f t="shared" si="23"/>
        <v>#DIV/0!</v>
      </c>
      <c r="O85" s="555"/>
      <c r="P85" s="556"/>
    </row>
    <row r="86" spans="3:20" outlineLevel="1" x14ac:dyDescent="0.3">
      <c r="C86" s="515"/>
      <c r="E86" s="606">
        <f>+SUM('Operating Budget - Monthly'!K97:V97)</f>
        <v>0</v>
      </c>
      <c r="F86" s="607" t="e">
        <f t="shared" si="21"/>
        <v>#DIV/0!</v>
      </c>
      <c r="G86" s="515"/>
      <c r="H86" s="608">
        <f>+SUM('Operating Budget - Monthly'!W97:AH97)</f>
        <v>0</v>
      </c>
      <c r="I86" s="609" t="e">
        <f t="shared" si="22"/>
        <v>#DIV/0!</v>
      </c>
      <c r="K86" s="512"/>
      <c r="L86" s="525"/>
      <c r="M86" s="591">
        <f t="shared" si="24"/>
        <v>0</v>
      </c>
      <c r="N86" s="552" t="e">
        <f t="shared" si="23"/>
        <v>#DIV/0!</v>
      </c>
      <c r="O86" s="555"/>
      <c r="P86" s="556"/>
    </row>
    <row r="87" spans="3:20" outlineLevel="1" x14ac:dyDescent="0.3">
      <c r="C87" s="515"/>
      <c r="E87" s="606">
        <f>+SUM('Operating Budget - Monthly'!K100:V100)</f>
        <v>0</v>
      </c>
      <c r="F87" s="607" t="e">
        <f t="shared" si="21"/>
        <v>#DIV/0!</v>
      </c>
      <c r="G87" s="515"/>
      <c r="H87" s="608">
        <f>+SUM('Operating Budget - Monthly'!W100:AH100)</f>
        <v>0</v>
      </c>
      <c r="I87" s="609" t="e">
        <f t="shared" si="22"/>
        <v>#DIV/0!</v>
      </c>
      <c r="K87" s="512"/>
      <c r="L87" s="525"/>
      <c r="M87" s="591">
        <f t="shared" si="24"/>
        <v>0</v>
      </c>
      <c r="N87" s="552" t="e">
        <f t="shared" si="23"/>
        <v>#DIV/0!</v>
      </c>
      <c r="O87" s="555"/>
      <c r="P87" s="556"/>
    </row>
    <row r="88" spans="3:20" x14ac:dyDescent="0.3">
      <c r="C88" s="580" t="s">
        <v>188</v>
      </c>
      <c r="D88" s="581"/>
      <c r="E88" s="582">
        <f>SUM(E83:E87)</f>
        <v>0</v>
      </c>
      <c r="F88" s="583" t="e">
        <f t="shared" si="21"/>
        <v>#DIV/0!</v>
      </c>
      <c r="G88" s="520"/>
      <c r="H88" s="584">
        <f>SUM(H83:H87)</f>
        <v>0</v>
      </c>
      <c r="I88" s="585" t="e">
        <f t="shared" si="22"/>
        <v>#DIV/0!</v>
      </c>
      <c r="K88" s="512"/>
      <c r="L88" s="586"/>
      <c r="M88" s="587">
        <f>SUM(M83:M87)</f>
        <v>0</v>
      </c>
      <c r="N88" s="585" t="e">
        <f>+M88/C4</f>
        <v>#DIV/0!</v>
      </c>
      <c r="O88" s="593"/>
      <c r="P88" s="594" t="s">
        <v>473</v>
      </c>
    </row>
    <row r="89" spans="3:20" x14ac:dyDescent="0.3">
      <c r="C89" s="515"/>
      <c r="E89" s="525"/>
      <c r="F89" s="550"/>
      <c r="G89" s="515"/>
      <c r="H89" s="551"/>
      <c r="I89" s="552"/>
      <c r="K89" s="512"/>
      <c r="L89" s="525"/>
      <c r="M89" s="595"/>
      <c r="N89" s="512"/>
      <c r="P89" s="512"/>
    </row>
    <row r="90" spans="3:20" x14ac:dyDescent="0.3">
      <c r="C90" s="596" t="s">
        <v>433</v>
      </c>
      <c r="D90" s="593"/>
      <c r="E90" s="597" t="e">
        <f>+SUM(E53,E64,E71,E81,E88)</f>
        <v>#REF!</v>
      </c>
      <c r="F90" s="598" t="e">
        <f>+E90/$C$4</f>
        <v>#REF!</v>
      </c>
      <c r="G90" s="515"/>
      <c r="H90" s="599" t="e">
        <f>+SUM(H53,H64,H71,H81,H88)</f>
        <v>#REF!</v>
      </c>
      <c r="I90" s="600" t="e">
        <f>+H90/$C$4</f>
        <v>#REF!</v>
      </c>
      <c r="K90" s="512"/>
      <c r="L90" s="586"/>
      <c r="M90" s="599">
        <f>+SUM(M53,M64,M71,M81,M88)</f>
        <v>622482</v>
      </c>
      <c r="N90" s="600" t="e">
        <f>+M90/$C$4</f>
        <v>#DIV/0!</v>
      </c>
      <c r="O90" s="588"/>
      <c r="P90" s="589"/>
    </row>
    <row r="91" spans="3:20" ht="10.199999999999999" customHeight="1" x14ac:dyDescent="0.3">
      <c r="C91" s="515"/>
      <c r="E91" s="525"/>
      <c r="F91" s="550"/>
      <c r="G91" s="515"/>
      <c r="H91" s="551"/>
      <c r="I91" s="552"/>
      <c r="K91" s="512"/>
      <c r="L91" s="525"/>
      <c r="M91" s="595"/>
      <c r="N91" s="512"/>
      <c r="P91" s="512"/>
    </row>
    <row r="92" spans="3:20" outlineLevel="1" x14ac:dyDescent="0.3">
      <c r="C92" s="515" t="s">
        <v>194</v>
      </c>
      <c r="E92" s="606" t="e">
        <f>SUM('Operating Budget - Monthly'!K113:V113)</f>
        <v>#DIV/0!</v>
      </c>
      <c r="F92" s="607" t="e">
        <f>+E92/$C$4</f>
        <v>#DIV/0!</v>
      </c>
      <c r="G92" s="515"/>
      <c r="H92" s="608" t="e">
        <f>SUM('Operating Budget - Monthly'!W113:AH113)</f>
        <v>#DIV/0!</v>
      </c>
      <c r="I92" s="609" t="e">
        <f>+H92/$C$4</f>
        <v>#DIV/0!</v>
      </c>
      <c r="K92" s="512"/>
      <c r="L92" s="525"/>
      <c r="M92" s="554">
        <f>+N92*M44</f>
        <v>0</v>
      </c>
      <c r="N92" s="617">
        <v>0.04</v>
      </c>
      <c r="O92" s="555"/>
      <c r="P92" s="556"/>
    </row>
    <row r="93" spans="3:20" x14ac:dyDescent="0.3">
      <c r="C93" s="580" t="s">
        <v>189</v>
      </c>
      <c r="D93" s="581"/>
      <c r="E93" s="582" t="e">
        <f>+E92</f>
        <v>#DIV/0!</v>
      </c>
      <c r="F93" s="583" t="e">
        <f>+E93/$C$4</f>
        <v>#DIV/0!</v>
      </c>
      <c r="G93" s="520"/>
      <c r="H93" s="584" t="e">
        <f>+H92</f>
        <v>#DIV/0!</v>
      </c>
      <c r="I93" s="585" t="e">
        <f>+H93/$C$4</f>
        <v>#DIV/0!</v>
      </c>
      <c r="K93" s="512"/>
      <c r="L93" s="586"/>
      <c r="M93" s="587">
        <f>+M92</f>
        <v>0</v>
      </c>
      <c r="N93" s="618" t="e">
        <f>+M93/C4</f>
        <v>#DIV/0!</v>
      </c>
      <c r="O93" s="593"/>
      <c r="P93" s="619"/>
    </row>
    <row r="94" spans="3:20" x14ac:dyDescent="0.3">
      <c r="C94" s="520" t="s">
        <v>214</v>
      </c>
      <c r="D94" s="506"/>
      <c r="E94" s="639" t="e">
        <f>+E93/E44</f>
        <v>#DIV/0!</v>
      </c>
      <c r="F94" s="620"/>
      <c r="G94" s="621"/>
      <c r="H94" s="622" t="e">
        <f>+H93/H44</f>
        <v>#DIV/0!</v>
      </c>
      <c r="I94" s="623"/>
      <c r="K94" s="512"/>
      <c r="L94" s="525"/>
      <c r="M94" s="624" t="e">
        <f>+M93/$M$44</f>
        <v>#DIV/0!</v>
      </c>
      <c r="N94" s="512"/>
      <c r="P94" s="512"/>
    </row>
    <row r="95" spans="3:20" ht="6.6" customHeight="1" x14ac:dyDescent="0.3">
      <c r="C95" s="515"/>
      <c r="E95" s="525"/>
      <c r="F95" s="550"/>
      <c r="G95" s="515"/>
      <c r="H95" s="551"/>
      <c r="I95" s="552"/>
      <c r="K95" s="512"/>
      <c r="L95" s="525"/>
      <c r="M95" s="595"/>
      <c r="N95" s="512"/>
      <c r="P95" s="512"/>
    </row>
    <row r="96" spans="3:20" outlineLevel="1" x14ac:dyDescent="0.3">
      <c r="C96" s="515" t="s">
        <v>179</v>
      </c>
      <c r="E96" s="606">
        <f>SUM('Operating Budget - Monthly'!K116:V116)</f>
        <v>0</v>
      </c>
      <c r="F96" s="607" t="e">
        <f>+E96/$C$4</f>
        <v>#DIV/0!</v>
      </c>
      <c r="G96" s="515"/>
      <c r="H96" s="608">
        <f>SUM('Operating Budget - Monthly'!W116:AH116)</f>
        <v>0</v>
      </c>
      <c r="I96" s="609" t="e">
        <f>+H96/$C$4</f>
        <v>#DIV/0!</v>
      </c>
      <c r="K96" s="512"/>
      <c r="L96" s="525"/>
      <c r="M96" s="591">
        <f>H96</f>
        <v>0</v>
      </c>
      <c r="N96" s="552" t="e">
        <f>+M96/$C$4</f>
        <v>#DIV/0!</v>
      </c>
      <c r="O96" s="555"/>
      <c r="P96" s="592" t="s">
        <v>474</v>
      </c>
    </row>
    <row r="97" spans="3:16" x14ac:dyDescent="0.3">
      <c r="C97" s="580" t="s">
        <v>190</v>
      </c>
      <c r="D97" s="581"/>
      <c r="E97" s="582">
        <f>+E96</f>
        <v>0</v>
      </c>
      <c r="F97" s="583" t="e">
        <f>+E97/$C$4</f>
        <v>#DIV/0!</v>
      </c>
      <c r="G97" s="520"/>
      <c r="H97" s="584">
        <f>H96</f>
        <v>0</v>
      </c>
      <c r="I97" s="585" t="e">
        <f>+H97/$C$4</f>
        <v>#DIV/0!</v>
      </c>
      <c r="K97" s="512"/>
      <c r="L97" s="586"/>
      <c r="M97" s="587">
        <f>+M96</f>
        <v>0</v>
      </c>
      <c r="N97" s="585" t="e">
        <f>+F97</f>
        <v>#DIV/0!</v>
      </c>
      <c r="O97" s="593"/>
      <c r="P97" s="619" t="s">
        <v>475</v>
      </c>
    </row>
    <row r="98" spans="3:16" ht="9.6" customHeight="1" x14ac:dyDescent="0.3">
      <c r="C98" s="515"/>
      <c r="E98" s="525"/>
      <c r="F98" s="550"/>
      <c r="G98" s="515"/>
      <c r="H98" s="551"/>
      <c r="I98" s="552"/>
      <c r="K98" s="512"/>
      <c r="L98" s="525"/>
      <c r="M98" s="595"/>
      <c r="N98" s="512"/>
      <c r="P98" s="512"/>
    </row>
    <row r="99" spans="3:16" outlineLevel="1" x14ac:dyDescent="0.3">
      <c r="C99" s="515" t="s">
        <v>180</v>
      </c>
      <c r="E99" s="606">
        <f>+SUM('Operating Budget - Monthly'!K119:V119)</f>
        <v>0</v>
      </c>
      <c r="F99" s="607" t="e">
        <f>+E99/$C$4</f>
        <v>#DIV/0!</v>
      </c>
      <c r="G99" s="515"/>
      <c r="H99" s="608">
        <f>+SUM('Operating Budget - Monthly'!W119:AH119)</f>
        <v>0</v>
      </c>
      <c r="I99" s="609" t="e">
        <f>+H99/$C$4</f>
        <v>#DIV/0!</v>
      </c>
      <c r="K99" s="512"/>
      <c r="L99" s="525"/>
      <c r="M99" s="591">
        <f>+H99</f>
        <v>0</v>
      </c>
      <c r="N99" s="552" t="e">
        <f>+M99/$C$4</f>
        <v>#DIV/0!</v>
      </c>
      <c r="O99" s="555"/>
      <c r="P99" s="556" t="s">
        <v>474</v>
      </c>
    </row>
    <row r="100" spans="3:16" x14ac:dyDescent="0.3">
      <c r="C100" s="580" t="s">
        <v>191</v>
      </c>
      <c r="D100" s="581"/>
      <c r="E100" s="582">
        <f>+E99</f>
        <v>0</v>
      </c>
      <c r="F100" s="583" t="e">
        <f>+E100/$C$4</f>
        <v>#DIV/0!</v>
      </c>
      <c r="G100" s="520"/>
      <c r="H100" s="584">
        <f>+H99</f>
        <v>0</v>
      </c>
      <c r="I100" s="585" t="e">
        <f>+H100/$C$4</f>
        <v>#DIV/0!</v>
      </c>
      <c r="K100" s="512"/>
      <c r="L100" s="586"/>
      <c r="M100" s="587">
        <f>+M99</f>
        <v>0</v>
      </c>
      <c r="N100" s="613" t="e">
        <f>+M100/C4</f>
        <v>#DIV/0!</v>
      </c>
      <c r="O100" s="593"/>
      <c r="P100" s="619" t="s">
        <v>475</v>
      </c>
    </row>
    <row r="101" spans="3:16" x14ac:dyDescent="0.3">
      <c r="C101" s="515"/>
      <c r="E101" s="525"/>
      <c r="F101" s="550"/>
      <c r="G101" s="515"/>
      <c r="H101" s="551"/>
      <c r="I101" s="552"/>
      <c r="K101" s="512"/>
      <c r="L101" s="525"/>
      <c r="M101" s="595"/>
      <c r="N101" s="512"/>
      <c r="P101" s="512"/>
    </row>
    <row r="102" spans="3:16" x14ac:dyDescent="0.3">
      <c r="C102" s="596" t="s">
        <v>192</v>
      </c>
      <c r="D102" s="593"/>
      <c r="E102" s="597" t="e">
        <f>+SUM(E53,E64,E71,E81,E88,E93,E97,E100)</f>
        <v>#REF!</v>
      </c>
      <c r="F102" s="598" t="e">
        <f>+E102/$C$4</f>
        <v>#REF!</v>
      </c>
      <c r="G102" s="515"/>
      <c r="H102" s="599" t="e">
        <f>+SUM(H53,H64,H71,H81,H88,H93,H97,H100)</f>
        <v>#REF!</v>
      </c>
      <c r="I102" s="600" t="e">
        <f>+H102/$C$4</f>
        <v>#REF!</v>
      </c>
      <c r="K102" s="512"/>
      <c r="L102" s="586"/>
      <c r="M102" s="601">
        <f>+SUM(M53,M64,M71,M81,M88,M93,M97,M100)</f>
        <v>622482</v>
      </c>
      <c r="N102" s="600" t="e">
        <f>+M102/$C$4</f>
        <v>#DIV/0!</v>
      </c>
      <c r="O102" s="588"/>
      <c r="P102" s="589"/>
    </row>
    <row r="103" spans="3:16" x14ac:dyDescent="0.3">
      <c r="C103" s="520" t="s">
        <v>195</v>
      </c>
      <c r="E103" s="625" t="e">
        <f>+E102/E44</f>
        <v>#REF!</v>
      </c>
      <c r="F103" s="626"/>
      <c r="G103" s="627"/>
      <c r="H103" s="622" t="e">
        <f>+H102/H44</f>
        <v>#REF!</v>
      </c>
      <c r="I103" s="628"/>
      <c r="K103" s="512"/>
      <c r="L103" s="525"/>
      <c r="M103" s="624" t="e">
        <f>+M102/M44</f>
        <v>#DIV/0!</v>
      </c>
      <c r="N103" s="512"/>
      <c r="P103" s="512"/>
    </row>
    <row r="104" spans="3:16" ht="3.6" customHeight="1" x14ac:dyDescent="0.3">
      <c r="C104" s="515"/>
      <c r="E104" s="525"/>
      <c r="F104" s="550"/>
      <c r="G104" s="515"/>
      <c r="H104" s="515"/>
      <c r="I104" s="552"/>
      <c r="K104" s="512"/>
      <c r="L104" s="525"/>
      <c r="M104" s="595"/>
      <c r="N104" s="512"/>
      <c r="O104" s="543"/>
      <c r="P104" s="518"/>
    </row>
    <row r="105" spans="3:16" ht="14.4" thickBot="1" x14ac:dyDescent="0.35">
      <c r="C105" s="596" t="s">
        <v>193</v>
      </c>
      <c r="D105" s="593"/>
      <c r="E105" s="629" t="e">
        <f>+E44-E102</f>
        <v>#REF!</v>
      </c>
      <c r="F105" s="630" t="e">
        <f>+E105/$C$4</f>
        <v>#REF!</v>
      </c>
      <c r="G105" s="631"/>
      <c r="H105" s="632" t="e">
        <f>+H44-H102</f>
        <v>#REF!</v>
      </c>
      <c r="I105" s="633" t="e">
        <f>+H105/$C$4</f>
        <v>#REF!</v>
      </c>
      <c r="K105" s="512"/>
      <c r="L105" s="634"/>
      <c r="M105" s="635">
        <f>+M44-M102</f>
        <v>-622482</v>
      </c>
      <c r="N105" s="633" t="e">
        <f>+M105/$C$4</f>
        <v>#DIV/0!</v>
      </c>
      <c r="O105" s="636"/>
      <c r="P105" s="637"/>
    </row>
    <row r="106" spans="3:16" ht="6" hidden="1" customHeight="1" thickTop="1" x14ac:dyDescent="0.3">
      <c r="C106" s="517"/>
      <c r="D106" s="543"/>
      <c r="E106" s="543"/>
      <c r="F106" s="543"/>
      <c r="G106" s="543"/>
      <c r="H106" s="543"/>
      <c r="I106" s="543"/>
      <c r="J106" s="543"/>
      <c r="K106" s="543"/>
      <c r="L106" s="543"/>
      <c r="M106" s="543"/>
      <c r="N106" s="543"/>
      <c r="O106" s="543"/>
      <c r="P106" s="544"/>
    </row>
    <row r="107" spans="3:16" ht="14.4" thickTop="1" x14ac:dyDescent="0.3">
      <c r="M107" s="504"/>
    </row>
    <row r="108" spans="3:16" x14ac:dyDescent="0.3">
      <c r="E108" s="504"/>
      <c r="M108" s="504"/>
    </row>
    <row r="109" spans="3:16" x14ac:dyDescent="0.3">
      <c r="E109" s="504"/>
      <c r="M109" s="548"/>
      <c r="N109" s="504"/>
    </row>
    <row r="110" spans="3:16" x14ac:dyDescent="0.3">
      <c r="M110" s="504"/>
    </row>
  </sheetData>
  <mergeCells count="13">
    <mergeCell ref="E6:I6"/>
    <mergeCell ref="L6:N7"/>
    <mergeCell ref="O6:P9"/>
    <mergeCell ref="M8:M9"/>
    <mergeCell ref="C46:D46"/>
    <mergeCell ref="C8:D8"/>
    <mergeCell ref="E8:E9"/>
    <mergeCell ref="F8:F9"/>
    <mergeCell ref="H8:H9"/>
    <mergeCell ref="I8:I9"/>
    <mergeCell ref="E7:F7"/>
    <mergeCell ref="H7:I7"/>
    <mergeCell ref="N8:N9"/>
  </mergeCells>
  <pageMargins left="0.7" right="0.7" top="0.75" bottom="0.75" header="0.3" footer="0.3"/>
  <pageSetup paperSize="5" scale="51" orientation="landscape" r:id="rId1"/>
  <rowBreaks count="1" manualBreakCount="1">
    <brk id="44" max="16383" man="1"/>
  </rowBreaks>
  <extLst>
    <ext xmlns:x14="http://schemas.microsoft.com/office/spreadsheetml/2009/9/main" uri="{CCE6A557-97BC-4b89-ADB6-D9C93CAAB3DF}">
      <x14:dataValidations xmlns:xm="http://schemas.microsoft.com/office/excel/2006/main" count="6">
        <x14:dataValidation type="list" allowBlank="1" showInputMessage="1" showErrorMessage="1" xr:uid="{EED170F5-490B-45BF-8534-25E430AC44B7}">
          <x14:formula1>
            <xm:f>'OpStatement List - Dropdowns'!$I$11:$I$53</xm:f>
          </x14:formula1>
          <xm:sqref>C23:C40</xm:sqref>
        </x14:dataValidation>
        <x14:dataValidation type="list" allowBlank="1" showInputMessage="1" showErrorMessage="1" xr:uid="{34F936D5-4605-41A0-AB82-7ACDDD93F1CF}">
          <x14:formula1>
            <xm:f>'OpStatement List - Dropdowns'!$L$5:$L$11</xm:f>
          </x14:formula1>
          <xm:sqref>C48:C52</xm:sqref>
        </x14:dataValidation>
        <x14:dataValidation type="list" allowBlank="1" showInputMessage="1" showErrorMessage="1" xr:uid="{9F9A15B8-997B-4A2D-9239-84258A69185A}">
          <x14:formula1>
            <xm:f>'OpStatement List - Dropdowns'!$L$13:$L$22</xm:f>
          </x14:formula1>
          <xm:sqref>C55:C63</xm:sqref>
        </x14:dataValidation>
        <x14:dataValidation type="list" allowBlank="1" showInputMessage="1" showErrorMessage="1" xr:uid="{6DA0D98B-E2B8-4960-AB09-6C7A24B6D1C1}">
          <x14:formula1>
            <xm:f>'OpStatement List - Dropdowns'!$L$25:$L$29</xm:f>
          </x14:formula1>
          <xm:sqref>C66:C70</xm:sqref>
        </x14:dataValidation>
        <x14:dataValidation type="list" allowBlank="1" showInputMessage="1" showErrorMessage="1" xr:uid="{19E8BFCD-EBDD-4843-8583-CBAF8FA1FD68}">
          <x14:formula1>
            <xm:f>'OpStatement List - Dropdowns'!$L$32:$L$40</xm:f>
          </x14:formula1>
          <xm:sqref>C73:C80</xm:sqref>
        </x14:dataValidation>
        <x14:dataValidation type="list" allowBlank="1" showInputMessage="1" showErrorMessage="1" xr:uid="{EDCF811C-50FC-43A2-AE4B-62E5AF68492A}">
          <x14:formula1>
            <xm:f>'OpStatement List - Dropdowns'!$L$46:$L$53</xm:f>
          </x14:formula1>
          <xm:sqref>C83:C87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BE666-FA45-4B7F-BE51-3A71DF695910}">
  <sheetPr>
    <tabColor rgb="FFC00000"/>
  </sheetPr>
  <dimension ref="A1"/>
  <sheetViews>
    <sheetView workbookViewId="0"/>
  </sheetViews>
  <sheetFormatPr defaultRowHeight="14.4" x14ac:dyDescent="0.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E3AC-DEC1-493B-B9CD-3E22D773F1BF}">
  <sheetPr>
    <tabColor rgb="FFC00000"/>
  </sheetPr>
  <dimension ref="B2:W37"/>
  <sheetViews>
    <sheetView workbookViewId="0">
      <selection activeCell="N9" sqref="N9"/>
    </sheetView>
  </sheetViews>
  <sheetFormatPr defaultColWidth="8.88671875" defaultRowHeight="13.8" x14ac:dyDescent="0.3"/>
  <cols>
    <col min="1" max="3" width="8.88671875" style="3"/>
    <col min="4" max="4" width="17.77734375" style="3" customWidth="1"/>
    <col min="5" max="5" width="19.77734375" style="3" bestFit="1" customWidth="1"/>
    <col min="6" max="6" width="17.77734375" style="3" bestFit="1" customWidth="1"/>
    <col min="7" max="9" width="11.44140625" style="3" bestFit="1" customWidth="1"/>
    <col min="10" max="10" width="8.88671875" style="3"/>
    <col min="11" max="11" width="17.77734375" style="3" bestFit="1" customWidth="1"/>
    <col min="12" max="12" width="9.5546875" style="3" bestFit="1" customWidth="1"/>
    <col min="13" max="13" width="8.88671875" style="3"/>
    <col min="14" max="14" width="10.6640625" style="3" bestFit="1" customWidth="1"/>
    <col min="15" max="15" width="8.88671875" style="3"/>
    <col min="16" max="16" width="15.21875" style="3" bestFit="1" customWidth="1"/>
    <col min="17" max="17" width="9" style="3" bestFit="1" customWidth="1"/>
    <col min="18" max="18" width="8.88671875" style="3"/>
    <col min="19" max="19" width="13.6640625" style="3" customWidth="1"/>
    <col min="20" max="20" width="9" style="3" bestFit="1" customWidth="1"/>
    <col min="21" max="21" width="8.88671875" style="3"/>
    <col min="22" max="22" width="13.6640625" style="3" bestFit="1" customWidth="1"/>
    <col min="23" max="23" width="9" style="3" bestFit="1" customWidth="1"/>
    <col min="24" max="16384" width="8.88671875" style="3"/>
  </cols>
  <sheetData>
    <row r="2" spans="2:22" x14ac:dyDescent="0.3">
      <c r="B2" s="3" t="s">
        <v>259</v>
      </c>
    </row>
    <row r="3" spans="2:22" x14ac:dyDescent="0.3">
      <c r="B3" s="11" t="s">
        <v>260</v>
      </c>
      <c r="C3" s="11"/>
      <c r="E3" s="23" t="s">
        <v>288</v>
      </c>
      <c r="F3" s="805" t="s">
        <v>264</v>
      </c>
      <c r="G3" s="805"/>
      <c r="H3" s="805"/>
      <c r="I3" s="805"/>
      <c r="K3" s="748" t="s">
        <v>434</v>
      </c>
      <c r="L3" s="746"/>
      <c r="N3" s="23" t="s">
        <v>273</v>
      </c>
      <c r="P3" s="23" t="s">
        <v>274</v>
      </c>
      <c r="S3" s="23" t="s">
        <v>275</v>
      </c>
      <c r="V3" s="23" t="s">
        <v>276</v>
      </c>
    </row>
    <row r="4" spans="2:22" x14ac:dyDescent="0.3">
      <c r="B4" s="11" t="s">
        <v>261</v>
      </c>
      <c r="C4" s="11"/>
      <c r="E4" s="23">
        <f>+IF('Marketing Stack'!B3&lt;200,100,IF(AND('Marketing Stack'!B3&lt;300,'Marketing Stack'!B3&gt;199),200,300))</f>
        <v>100</v>
      </c>
      <c r="F4" s="25" t="s">
        <v>74</v>
      </c>
      <c r="G4" s="26">
        <v>100</v>
      </c>
      <c r="H4" s="26">
        <v>200</v>
      </c>
      <c r="I4" s="26">
        <v>300</v>
      </c>
      <c r="K4" s="25" t="s">
        <v>260</v>
      </c>
      <c r="L4" s="27">
        <v>350</v>
      </c>
      <c r="N4" s="27">
        <v>1700</v>
      </c>
      <c r="P4" s="28">
        <v>350</v>
      </c>
      <c r="S4" s="28">
        <v>300</v>
      </c>
      <c r="V4" s="28">
        <v>350</v>
      </c>
    </row>
    <row r="5" spans="2:22" x14ac:dyDescent="0.3">
      <c r="F5" s="25" t="s">
        <v>266</v>
      </c>
      <c r="G5" s="28">
        <v>660</v>
      </c>
      <c r="H5" s="28">
        <v>720</v>
      </c>
      <c r="I5" s="28">
        <v>865</v>
      </c>
      <c r="K5" s="25" t="s">
        <v>261</v>
      </c>
      <c r="L5" s="27">
        <v>0</v>
      </c>
      <c r="N5" s="27">
        <v>2000</v>
      </c>
    </row>
    <row r="6" spans="2:22" x14ac:dyDescent="0.3">
      <c r="F6" s="25" t="s">
        <v>269</v>
      </c>
      <c r="G6" s="28">
        <v>705</v>
      </c>
      <c r="H6" s="28">
        <v>900</v>
      </c>
      <c r="I6" s="28">
        <v>1080</v>
      </c>
      <c r="N6" s="27">
        <v>2500</v>
      </c>
    </row>
    <row r="7" spans="2:22" x14ac:dyDescent="0.3">
      <c r="F7" s="25" t="s">
        <v>267</v>
      </c>
      <c r="G7" s="28">
        <v>905</v>
      </c>
      <c r="H7" s="28">
        <v>1080</v>
      </c>
      <c r="I7" s="28">
        <v>1210</v>
      </c>
      <c r="N7" s="27">
        <v>3000</v>
      </c>
    </row>
    <row r="8" spans="2:22" x14ac:dyDescent="0.3">
      <c r="F8" s="25" t="s">
        <v>268</v>
      </c>
      <c r="G8" s="28">
        <v>1105</v>
      </c>
      <c r="H8" s="28">
        <v>1250</v>
      </c>
      <c r="I8" s="28">
        <v>1410</v>
      </c>
      <c r="N8" s="27">
        <v>3500</v>
      </c>
    </row>
    <row r="9" spans="2:22" x14ac:dyDescent="0.3">
      <c r="F9" s="25" t="s">
        <v>270</v>
      </c>
      <c r="G9" s="28">
        <v>1300</v>
      </c>
      <c r="H9" s="28">
        <v>1410</v>
      </c>
      <c r="I9" s="28">
        <v>1555</v>
      </c>
    </row>
    <row r="10" spans="2:22" x14ac:dyDescent="0.3">
      <c r="F10" s="25" t="s">
        <v>272</v>
      </c>
      <c r="G10" s="28">
        <v>1625</v>
      </c>
      <c r="H10" s="28">
        <v>1760</v>
      </c>
      <c r="I10" s="28">
        <v>1945</v>
      </c>
    </row>
    <row r="11" spans="2:22" x14ac:dyDescent="0.3">
      <c r="F11" s="25" t="s">
        <v>265</v>
      </c>
      <c r="G11" s="28">
        <v>2075</v>
      </c>
      <c r="H11" s="28">
        <v>2335</v>
      </c>
      <c r="I11" s="28">
        <v>2595</v>
      </c>
    </row>
    <row r="12" spans="2:22" x14ac:dyDescent="0.3">
      <c r="F12" s="25" t="s">
        <v>271</v>
      </c>
      <c r="G12" s="29">
        <v>2750</v>
      </c>
      <c r="H12" s="29">
        <v>3250</v>
      </c>
      <c r="I12" s="29">
        <v>4000</v>
      </c>
    </row>
    <row r="14" spans="2:22" x14ac:dyDescent="0.3">
      <c r="K14" s="30"/>
    </row>
    <row r="17" spans="6:23" x14ac:dyDescent="0.3">
      <c r="F17" s="26" t="s">
        <v>279</v>
      </c>
      <c r="G17" s="31">
        <v>409</v>
      </c>
      <c r="K17" s="26" t="s">
        <v>280</v>
      </c>
      <c r="L17" s="31">
        <v>575</v>
      </c>
      <c r="N17" s="23" t="s">
        <v>281</v>
      </c>
      <c r="P17" s="805" t="s">
        <v>282</v>
      </c>
      <c r="Q17" s="805"/>
      <c r="R17" s="32"/>
      <c r="S17" s="805" t="s">
        <v>284</v>
      </c>
      <c r="T17" s="805"/>
      <c r="U17" s="32"/>
      <c r="V17" s="805" t="s">
        <v>287</v>
      </c>
      <c r="W17" s="805"/>
    </row>
    <row r="18" spans="6:23" x14ac:dyDescent="0.3">
      <c r="F18" s="26" t="s">
        <v>277</v>
      </c>
      <c r="G18" s="25"/>
      <c r="K18" s="26" t="s">
        <v>277</v>
      </c>
      <c r="L18" s="25"/>
      <c r="N18" s="28">
        <v>55</v>
      </c>
      <c r="P18" s="25" t="s">
        <v>283</v>
      </c>
      <c r="Q18" s="31">
        <v>0.27</v>
      </c>
      <c r="R18" s="33"/>
      <c r="S18" s="25" t="s">
        <v>285</v>
      </c>
      <c r="T18" s="27">
        <v>375</v>
      </c>
      <c r="V18" s="25" t="s">
        <v>285</v>
      </c>
      <c r="W18" s="27">
        <v>600</v>
      </c>
    </row>
    <row r="19" spans="6:23" x14ac:dyDescent="0.3">
      <c r="F19" s="26">
        <v>0</v>
      </c>
      <c r="G19" s="34">
        <f t="shared" ref="G19:G24" si="0">+$G$17*F19</f>
        <v>0</v>
      </c>
      <c r="K19" s="26">
        <v>1</v>
      </c>
      <c r="L19" s="34">
        <f>+L17+L22</f>
        <v>575</v>
      </c>
      <c r="S19" s="25" t="s">
        <v>286</v>
      </c>
      <c r="T19" s="27">
        <v>81</v>
      </c>
      <c r="U19" s="35"/>
      <c r="V19" s="25" t="s">
        <v>286</v>
      </c>
      <c r="W19" s="27">
        <v>199</v>
      </c>
    </row>
    <row r="20" spans="6:23" x14ac:dyDescent="0.3">
      <c r="F20" s="26">
        <v>1</v>
      </c>
      <c r="G20" s="34">
        <f t="shared" si="0"/>
        <v>409</v>
      </c>
      <c r="K20" s="26">
        <v>2</v>
      </c>
      <c r="L20" s="34">
        <f>+(K20*$G$17)+L22</f>
        <v>818</v>
      </c>
      <c r="U20" s="35"/>
    </row>
    <row r="21" spans="6:23" x14ac:dyDescent="0.3">
      <c r="F21" s="26">
        <v>2</v>
      </c>
      <c r="G21" s="34">
        <f t="shared" si="0"/>
        <v>818</v>
      </c>
      <c r="K21" s="26">
        <v>3</v>
      </c>
      <c r="L21" s="34">
        <f>(K21*$G$17)+L22</f>
        <v>1227</v>
      </c>
    </row>
    <row r="22" spans="6:23" x14ac:dyDescent="0.3">
      <c r="F22" s="26">
        <v>3</v>
      </c>
      <c r="G22" s="34">
        <f t="shared" si="0"/>
        <v>1227</v>
      </c>
      <c r="H22" s="33"/>
      <c r="K22" s="26"/>
      <c r="L22" s="34"/>
    </row>
    <row r="23" spans="6:23" x14ac:dyDescent="0.3">
      <c r="F23" s="26">
        <v>4</v>
      </c>
      <c r="G23" s="34">
        <f t="shared" si="0"/>
        <v>1636</v>
      </c>
    </row>
    <row r="24" spans="6:23" x14ac:dyDescent="0.3">
      <c r="F24" s="26">
        <v>5</v>
      </c>
      <c r="G24" s="34">
        <f t="shared" si="0"/>
        <v>2045</v>
      </c>
    </row>
    <row r="25" spans="6:23" x14ac:dyDescent="0.3">
      <c r="F25" s="26" t="s">
        <v>278</v>
      </c>
      <c r="G25" s="27">
        <v>63</v>
      </c>
    </row>
    <row r="29" spans="6:23" x14ac:dyDescent="0.3">
      <c r="F29" s="26" t="s">
        <v>364</v>
      </c>
      <c r="G29" s="31">
        <v>250</v>
      </c>
    </row>
    <row r="30" spans="6:23" x14ac:dyDescent="0.3">
      <c r="F30" s="26" t="s">
        <v>277</v>
      </c>
      <c r="G30" s="25"/>
    </row>
    <row r="31" spans="6:23" x14ac:dyDescent="0.3">
      <c r="F31" s="26">
        <v>0</v>
      </c>
      <c r="G31" s="36">
        <f>F31*$G$29</f>
        <v>0</v>
      </c>
    </row>
    <row r="32" spans="6:23" x14ac:dyDescent="0.3">
      <c r="F32" s="26">
        <v>1</v>
      </c>
      <c r="G32" s="36">
        <f t="shared" ref="G32:G36" si="1">F32*$G$29</f>
        <v>250</v>
      </c>
    </row>
    <row r="33" spans="6:7" x14ac:dyDescent="0.3">
      <c r="F33" s="26">
        <v>2</v>
      </c>
      <c r="G33" s="36">
        <f t="shared" si="1"/>
        <v>500</v>
      </c>
    </row>
    <row r="34" spans="6:7" x14ac:dyDescent="0.3">
      <c r="F34" s="26">
        <v>3</v>
      </c>
      <c r="G34" s="36">
        <f t="shared" si="1"/>
        <v>750</v>
      </c>
    </row>
    <row r="35" spans="6:7" x14ac:dyDescent="0.3">
      <c r="F35" s="26">
        <v>4</v>
      </c>
      <c r="G35" s="36">
        <f t="shared" si="1"/>
        <v>1000</v>
      </c>
    </row>
    <row r="36" spans="6:7" x14ac:dyDescent="0.3">
      <c r="F36" s="26">
        <v>5</v>
      </c>
      <c r="G36" s="36">
        <f t="shared" si="1"/>
        <v>1250</v>
      </c>
    </row>
    <row r="37" spans="6:7" x14ac:dyDescent="0.3">
      <c r="F37" s="26" t="s">
        <v>278</v>
      </c>
      <c r="G37" s="27">
        <v>380</v>
      </c>
    </row>
  </sheetData>
  <mergeCells count="5">
    <mergeCell ref="F3:I3"/>
    <mergeCell ref="K3:L3"/>
    <mergeCell ref="P17:Q17"/>
    <mergeCell ref="S17:T17"/>
    <mergeCell ref="V17:W1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87C36-2242-4E0D-B422-4013632CA7ED}">
  <sheetPr>
    <tabColor rgb="FFC00000"/>
  </sheetPr>
  <dimension ref="B3:N142"/>
  <sheetViews>
    <sheetView topLeftCell="A7" workbookViewId="0">
      <selection activeCell="I11" sqref="I11:I35"/>
    </sheetView>
  </sheetViews>
  <sheetFormatPr defaultRowHeight="13.8" x14ac:dyDescent="0.3"/>
  <cols>
    <col min="1" max="1" width="8.88671875" style="2"/>
    <col min="2" max="2" width="20.109375" style="2" bestFit="1" customWidth="1"/>
    <col min="3" max="3" width="32.109375" style="2" bestFit="1" customWidth="1"/>
    <col min="4" max="4" width="17.77734375" style="2" customWidth="1"/>
    <col min="5" max="8" width="8.88671875" style="2"/>
    <col min="9" max="9" width="23.5546875" style="2" bestFit="1" customWidth="1"/>
    <col min="10" max="11" width="8.88671875" style="2"/>
    <col min="12" max="12" width="25.88671875" style="2" customWidth="1"/>
    <col min="13" max="16384" width="8.88671875" style="2"/>
  </cols>
  <sheetData>
    <row r="3" spans="2:14" x14ac:dyDescent="0.3">
      <c r="C3" s="11" t="s">
        <v>6</v>
      </c>
    </row>
    <row r="4" spans="2:14" x14ac:dyDescent="0.3">
      <c r="B4" s="2" t="s">
        <v>51</v>
      </c>
      <c r="C4" s="11" t="s">
        <v>7</v>
      </c>
      <c r="I4" s="7" t="s">
        <v>64</v>
      </c>
      <c r="L4" s="7" t="s">
        <v>65</v>
      </c>
    </row>
    <row r="5" spans="2:14" x14ac:dyDescent="0.3">
      <c r="B5" s="2" t="s">
        <v>51</v>
      </c>
      <c r="C5" s="11" t="s">
        <v>8</v>
      </c>
      <c r="I5" s="19" t="s">
        <v>51</v>
      </c>
      <c r="L5" s="302" t="s">
        <v>359</v>
      </c>
      <c r="N5" s="2" t="s">
        <v>156</v>
      </c>
    </row>
    <row r="6" spans="2:14" x14ac:dyDescent="0.3">
      <c r="B6" s="2" t="s">
        <v>52</v>
      </c>
      <c r="C6" s="11" t="s">
        <v>9</v>
      </c>
      <c r="I6" s="20" t="s">
        <v>224</v>
      </c>
      <c r="L6" s="307" t="s">
        <v>181</v>
      </c>
    </row>
    <row r="7" spans="2:14" x14ac:dyDescent="0.3">
      <c r="B7" s="2" t="s">
        <v>52</v>
      </c>
      <c r="C7" s="11" t="s">
        <v>10</v>
      </c>
      <c r="I7" s="20" t="s">
        <v>55</v>
      </c>
      <c r="L7" s="307" t="s">
        <v>229</v>
      </c>
    </row>
    <row r="8" spans="2:14" x14ac:dyDescent="0.3">
      <c r="B8" s="2" t="s">
        <v>55</v>
      </c>
      <c r="C8" s="11" t="s">
        <v>11</v>
      </c>
      <c r="I8" s="20" t="s">
        <v>52</v>
      </c>
      <c r="L8" s="307" t="s">
        <v>182</v>
      </c>
    </row>
    <row r="9" spans="2:14" x14ac:dyDescent="0.3">
      <c r="B9" s="2" t="s">
        <v>56</v>
      </c>
      <c r="C9" s="11" t="s">
        <v>12</v>
      </c>
      <c r="I9" s="20" t="s">
        <v>56</v>
      </c>
      <c r="L9" s="307" t="s">
        <v>357</v>
      </c>
    </row>
    <row r="10" spans="2:14" x14ac:dyDescent="0.3">
      <c r="B10" s="2" t="s">
        <v>56</v>
      </c>
      <c r="C10" s="11" t="s">
        <v>13</v>
      </c>
      <c r="I10" s="20" t="s">
        <v>226</v>
      </c>
      <c r="L10" s="20" t="s">
        <v>462</v>
      </c>
    </row>
    <row r="11" spans="2:14" x14ac:dyDescent="0.3">
      <c r="B11" s="2" t="s">
        <v>52</v>
      </c>
      <c r="C11" s="11" t="s">
        <v>14</v>
      </c>
      <c r="I11" s="20" t="s">
        <v>239</v>
      </c>
      <c r="L11" s="20"/>
    </row>
    <row r="12" spans="2:14" x14ac:dyDescent="0.3">
      <c r="B12" s="2" t="s">
        <v>57</v>
      </c>
      <c r="C12" s="11" t="s">
        <v>15</v>
      </c>
      <c r="I12" s="20" t="s">
        <v>458</v>
      </c>
      <c r="L12" s="20"/>
    </row>
    <row r="13" spans="2:14" x14ac:dyDescent="0.3">
      <c r="B13" s="2" t="s">
        <v>53</v>
      </c>
      <c r="C13" s="11" t="s">
        <v>16</v>
      </c>
      <c r="I13" s="20" t="s">
        <v>246</v>
      </c>
      <c r="L13" s="307" t="s">
        <v>161</v>
      </c>
      <c r="N13" s="2" t="s">
        <v>161</v>
      </c>
    </row>
    <row r="14" spans="2:14" x14ac:dyDescent="0.3">
      <c r="B14" s="2" t="s">
        <v>54</v>
      </c>
      <c r="C14" s="11" t="s">
        <v>17</v>
      </c>
      <c r="I14" s="20" t="s">
        <v>63</v>
      </c>
      <c r="L14" s="307" t="s">
        <v>162</v>
      </c>
    </row>
    <row r="15" spans="2:14" x14ac:dyDescent="0.3">
      <c r="C15" s="11"/>
      <c r="I15" s="20" t="s">
        <v>227</v>
      </c>
      <c r="L15" s="307" t="s">
        <v>163</v>
      </c>
    </row>
    <row r="16" spans="2:14" x14ac:dyDescent="0.3">
      <c r="C16" s="11" t="s">
        <v>20</v>
      </c>
      <c r="I16" s="20" t="s">
        <v>243</v>
      </c>
      <c r="L16" s="307" t="s">
        <v>164</v>
      </c>
    </row>
    <row r="17" spans="2:14" x14ac:dyDescent="0.3">
      <c r="B17" s="2" t="s">
        <v>58</v>
      </c>
      <c r="C17" s="11" t="s">
        <v>21</v>
      </c>
      <c r="I17" s="20" t="s">
        <v>456</v>
      </c>
      <c r="L17" s="307" t="s">
        <v>331</v>
      </c>
    </row>
    <row r="18" spans="2:14" x14ac:dyDescent="0.3">
      <c r="B18" s="2" t="s">
        <v>58</v>
      </c>
      <c r="C18" s="11" t="s">
        <v>22</v>
      </c>
      <c r="I18" s="20" t="s">
        <v>244</v>
      </c>
      <c r="L18" s="307" t="s">
        <v>332</v>
      </c>
    </row>
    <row r="19" spans="2:14" x14ac:dyDescent="0.3">
      <c r="B19" s="2" t="s">
        <v>58</v>
      </c>
      <c r="C19" s="11" t="s">
        <v>23</v>
      </c>
      <c r="I19" s="20" t="s">
        <v>242</v>
      </c>
      <c r="L19" s="307" t="s">
        <v>333</v>
      </c>
    </row>
    <row r="20" spans="2:14" x14ac:dyDescent="0.3">
      <c r="B20" s="2" t="s">
        <v>59</v>
      </c>
      <c r="C20" s="11" t="s">
        <v>24</v>
      </c>
      <c r="I20" s="20" t="s">
        <v>245</v>
      </c>
      <c r="L20" s="307" t="s">
        <v>512</v>
      </c>
    </row>
    <row r="21" spans="2:14" x14ac:dyDescent="0.3">
      <c r="B21" s="2" t="s">
        <v>60</v>
      </c>
      <c r="C21" s="11" t="s">
        <v>25</v>
      </c>
      <c r="I21" s="20" t="s">
        <v>241</v>
      </c>
      <c r="L21" s="307" t="s">
        <v>183</v>
      </c>
    </row>
    <row r="22" spans="2:14" x14ac:dyDescent="0.3">
      <c r="B22" s="2" t="s">
        <v>60</v>
      </c>
      <c r="C22" s="11" t="s">
        <v>26</v>
      </c>
      <c r="I22" s="20" t="s">
        <v>62</v>
      </c>
      <c r="L22" s="20" t="s">
        <v>494</v>
      </c>
    </row>
    <row r="23" spans="2:14" x14ac:dyDescent="0.3">
      <c r="B23" s="2" t="s">
        <v>61</v>
      </c>
      <c r="C23" s="11" t="s">
        <v>27</v>
      </c>
      <c r="I23" s="20" t="s">
        <v>57</v>
      </c>
      <c r="L23" s="20"/>
    </row>
    <row r="24" spans="2:14" x14ac:dyDescent="0.3">
      <c r="B24" s="2" t="s">
        <v>58</v>
      </c>
      <c r="C24" s="11" t="s">
        <v>28</v>
      </c>
      <c r="I24" s="20" t="s">
        <v>61</v>
      </c>
      <c r="L24" s="20"/>
    </row>
    <row r="25" spans="2:14" x14ac:dyDescent="0.3">
      <c r="C25" s="11" t="s">
        <v>29</v>
      </c>
      <c r="I25" s="20" t="s">
        <v>54</v>
      </c>
      <c r="L25" s="307" t="s">
        <v>167</v>
      </c>
      <c r="N25" s="2" t="s">
        <v>166</v>
      </c>
    </row>
    <row r="26" spans="2:14" x14ac:dyDescent="0.3">
      <c r="C26" s="11" t="s">
        <v>30</v>
      </c>
      <c r="I26" s="20" t="s">
        <v>236</v>
      </c>
      <c r="L26" s="307" t="s">
        <v>166</v>
      </c>
    </row>
    <row r="27" spans="2:14" x14ac:dyDescent="0.3">
      <c r="B27" s="2" t="s">
        <v>62</v>
      </c>
      <c r="C27" s="11" t="s">
        <v>31</v>
      </c>
      <c r="I27" s="20" t="s">
        <v>53</v>
      </c>
      <c r="L27" s="307" t="s">
        <v>169</v>
      </c>
    </row>
    <row r="28" spans="2:14" x14ac:dyDescent="0.3">
      <c r="B28" s="2" t="s">
        <v>62</v>
      </c>
      <c r="C28" s="11" t="s">
        <v>32</v>
      </c>
      <c r="I28" s="20" t="s">
        <v>459</v>
      </c>
      <c r="L28" s="307" t="s">
        <v>168</v>
      </c>
    </row>
    <row r="29" spans="2:14" x14ac:dyDescent="0.3">
      <c r="B29" s="2" t="s">
        <v>62</v>
      </c>
      <c r="C29" s="11" t="s">
        <v>33</v>
      </c>
      <c r="I29" s="20" t="s">
        <v>457</v>
      </c>
      <c r="L29" s="20"/>
    </row>
    <row r="30" spans="2:14" x14ac:dyDescent="0.3">
      <c r="B30" s="2" t="s">
        <v>56</v>
      </c>
      <c r="C30" s="11" t="s">
        <v>34</v>
      </c>
      <c r="I30" s="20" t="s">
        <v>60</v>
      </c>
      <c r="L30" s="20"/>
    </row>
    <row r="31" spans="2:14" x14ac:dyDescent="0.3">
      <c r="B31" s="2" t="s">
        <v>62</v>
      </c>
      <c r="C31" s="11" t="s">
        <v>35</v>
      </c>
      <c r="I31" s="20" t="s">
        <v>461</v>
      </c>
      <c r="L31" s="20" t="s">
        <v>61</v>
      </c>
    </row>
    <row r="32" spans="2:14" x14ac:dyDescent="0.3">
      <c r="B32" s="2" t="s">
        <v>62</v>
      </c>
      <c r="C32" s="11" t="s">
        <v>36</v>
      </c>
      <c r="I32" s="20" t="s">
        <v>234</v>
      </c>
      <c r="L32" s="307" t="s">
        <v>170</v>
      </c>
      <c r="N32" s="2" t="s">
        <v>170</v>
      </c>
    </row>
    <row r="33" spans="2:14" x14ac:dyDescent="0.3">
      <c r="B33" s="2" t="s">
        <v>54</v>
      </c>
      <c r="C33" s="11" t="s">
        <v>37</v>
      </c>
      <c r="I33" s="20" t="s">
        <v>486</v>
      </c>
      <c r="L33" s="307" t="s">
        <v>238</v>
      </c>
    </row>
    <row r="34" spans="2:14" x14ac:dyDescent="0.3">
      <c r="B34" s="2" t="s">
        <v>59</v>
      </c>
      <c r="C34" s="11" t="s">
        <v>38</v>
      </c>
      <c r="I34" s="20" t="s">
        <v>494</v>
      </c>
      <c r="L34" s="307" t="s">
        <v>225</v>
      </c>
    </row>
    <row r="35" spans="2:14" x14ac:dyDescent="0.3">
      <c r="B35" s="2" t="s">
        <v>63</v>
      </c>
      <c r="C35" s="11" t="s">
        <v>39</v>
      </c>
      <c r="I35" s="20" t="s">
        <v>495</v>
      </c>
      <c r="L35" s="307" t="s">
        <v>172</v>
      </c>
    </row>
    <row r="36" spans="2:14" x14ac:dyDescent="0.3">
      <c r="B36" s="2" t="s">
        <v>63</v>
      </c>
      <c r="C36" s="11" t="s">
        <v>40</v>
      </c>
      <c r="I36" s="20"/>
      <c r="L36" s="20" t="s">
        <v>480</v>
      </c>
    </row>
    <row r="37" spans="2:14" x14ac:dyDescent="0.3">
      <c r="B37" s="2" t="s">
        <v>63</v>
      </c>
      <c r="C37" s="11" t="s">
        <v>41</v>
      </c>
      <c r="I37" s="20"/>
      <c r="L37" s="20" t="s">
        <v>481</v>
      </c>
    </row>
    <row r="38" spans="2:14" x14ac:dyDescent="0.3">
      <c r="B38" s="2" t="s">
        <v>59</v>
      </c>
      <c r="C38" s="11" t="s">
        <v>42</v>
      </c>
      <c r="I38" s="20"/>
      <c r="L38" s="20" t="s">
        <v>487</v>
      </c>
    </row>
    <row r="39" spans="2:14" x14ac:dyDescent="0.3">
      <c r="B39" s="2" t="s">
        <v>59</v>
      </c>
      <c r="C39" s="11" t="s">
        <v>43</v>
      </c>
      <c r="I39" s="20"/>
      <c r="L39" s="20" t="s">
        <v>231</v>
      </c>
    </row>
    <row r="40" spans="2:14" x14ac:dyDescent="0.3">
      <c r="B40" s="2" t="s">
        <v>59</v>
      </c>
      <c r="C40" s="11" t="s">
        <v>44</v>
      </c>
      <c r="I40" s="20"/>
      <c r="L40" s="20"/>
    </row>
    <row r="41" spans="2:14" x14ac:dyDescent="0.3">
      <c r="B41" s="2" t="s">
        <v>59</v>
      </c>
      <c r="C41" s="11" t="s">
        <v>45</v>
      </c>
      <c r="I41" s="20"/>
      <c r="L41" s="20" t="s">
        <v>194</v>
      </c>
      <c r="N41" s="2" t="s">
        <v>476</v>
      </c>
    </row>
    <row r="42" spans="2:14" x14ac:dyDescent="0.3">
      <c r="B42" s="2" t="s">
        <v>59</v>
      </c>
      <c r="C42" s="11" t="s">
        <v>46</v>
      </c>
      <c r="I42" s="20"/>
      <c r="L42" s="20" t="s">
        <v>179</v>
      </c>
    </row>
    <row r="43" spans="2:14" x14ac:dyDescent="0.3">
      <c r="B43" s="2" t="s">
        <v>62</v>
      </c>
      <c r="C43" s="11" t="s">
        <v>47</v>
      </c>
      <c r="I43" s="20"/>
      <c r="L43" s="20" t="s">
        <v>180</v>
      </c>
    </row>
    <row r="44" spans="2:14" x14ac:dyDescent="0.3">
      <c r="B44" s="2" t="s">
        <v>62</v>
      </c>
      <c r="C44" s="11" t="s">
        <v>48</v>
      </c>
      <c r="I44" s="20"/>
      <c r="L44" s="20" t="s">
        <v>479</v>
      </c>
    </row>
    <row r="45" spans="2:14" x14ac:dyDescent="0.3">
      <c r="B45" s="2" t="s">
        <v>62</v>
      </c>
      <c r="C45" s="11" t="s">
        <v>49</v>
      </c>
      <c r="I45" s="20"/>
      <c r="L45" s="20"/>
    </row>
    <row r="46" spans="2:14" x14ac:dyDescent="0.3">
      <c r="C46" s="11" t="s">
        <v>50</v>
      </c>
      <c r="I46" s="20"/>
      <c r="L46" s="20" t="s">
        <v>461</v>
      </c>
      <c r="N46" s="2" t="s">
        <v>477</v>
      </c>
    </row>
    <row r="47" spans="2:14" x14ac:dyDescent="0.3">
      <c r="C47" s="11"/>
      <c r="I47" s="20"/>
      <c r="L47" s="20" t="s">
        <v>173</v>
      </c>
    </row>
    <row r="48" spans="2:14" x14ac:dyDescent="0.3">
      <c r="C48" s="11"/>
      <c r="I48" s="20"/>
      <c r="L48" s="20" t="s">
        <v>174</v>
      </c>
    </row>
    <row r="49" spans="2:12" x14ac:dyDescent="0.3">
      <c r="C49" s="11"/>
      <c r="I49" s="20"/>
      <c r="L49" s="20" t="s">
        <v>482</v>
      </c>
    </row>
    <row r="50" spans="2:12" x14ac:dyDescent="0.3">
      <c r="C50" s="11"/>
      <c r="I50" s="20"/>
      <c r="L50" s="20" t="s">
        <v>483</v>
      </c>
    </row>
    <row r="51" spans="2:12" x14ac:dyDescent="0.3">
      <c r="C51" s="11"/>
      <c r="I51" s="20"/>
      <c r="L51" s="20" t="s">
        <v>175</v>
      </c>
    </row>
    <row r="52" spans="2:12" x14ac:dyDescent="0.3">
      <c r="C52" s="11"/>
      <c r="I52" s="20"/>
      <c r="L52" s="20" t="s">
        <v>513</v>
      </c>
    </row>
    <row r="53" spans="2:12" x14ac:dyDescent="0.3">
      <c r="C53" s="11"/>
      <c r="I53" s="21"/>
      <c r="L53" s="21" t="s">
        <v>177</v>
      </c>
    </row>
    <row r="54" spans="2:12" x14ac:dyDescent="0.3">
      <c r="I54" s="22" t="s">
        <v>232</v>
      </c>
      <c r="J54" s="22" t="s">
        <v>233</v>
      </c>
      <c r="K54" s="22"/>
      <c r="L54" s="22" t="s">
        <v>232</v>
      </c>
    </row>
    <row r="55" spans="2:12" x14ac:dyDescent="0.3">
      <c r="C55" s="2" t="s">
        <v>0</v>
      </c>
    </row>
    <row r="56" spans="2:12" x14ac:dyDescent="0.3">
      <c r="B56" s="2" t="s">
        <v>156</v>
      </c>
      <c r="C56" s="11" t="s">
        <v>77</v>
      </c>
    </row>
    <row r="57" spans="2:12" x14ac:dyDescent="0.3">
      <c r="B57" s="2" t="s">
        <v>158</v>
      </c>
      <c r="C57" s="11" t="s">
        <v>78</v>
      </c>
    </row>
    <row r="58" spans="2:12" x14ac:dyDescent="0.3">
      <c r="B58" s="2" t="s">
        <v>157</v>
      </c>
      <c r="C58" s="11" t="s">
        <v>79</v>
      </c>
    </row>
    <row r="59" spans="2:12" x14ac:dyDescent="0.3">
      <c r="B59" s="2" t="s">
        <v>159</v>
      </c>
      <c r="C59" s="11" t="s">
        <v>80</v>
      </c>
    </row>
    <row r="60" spans="2:12" x14ac:dyDescent="0.3">
      <c r="B60" s="2" t="s">
        <v>160</v>
      </c>
      <c r="C60" s="11" t="s">
        <v>81</v>
      </c>
    </row>
    <row r="61" spans="2:12" x14ac:dyDescent="0.3">
      <c r="B61" s="2" t="s">
        <v>159</v>
      </c>
      <c r="C61" s="11" t="s">
        <v>82</v>
      </c>
    </row>
    <row r="62" spans="2:12" x14ac:dyDescent="0.3">
      <c r="B62" s="2" t="s">
        <v>159</v>
      </c>
      <c r="C62" s="11" t="s">
        <v>83</v>
      </c>
    </row>
    <row r="63" spans="2:12" x14ac:dyDescent="0.3">
      <c r="B63" s="2" t="s">
        <v>159</v>
      </c>
      <c r="C63" s="11" t="s">
        <v>84</v>
      </c>
    </row>
    <row r="64" spans="2:12" x14ac:dyDescent="0.3">
      <c r="B64" s="2" t="s">
        <v>159</v>
      </c>
      <c r="C64" s="11" t="s">
        <v>85</v>
      </c>
    </row>
    <row r="65" spans="2:3" x14ac:dyDescent="0.3">
      <c r="B65" s="2" t="s">
        <v>159</v>
      </c>
      <c r="C65" s="11" t="s">
        <v>86</v>
      </c>
    </row>
    <row r="66" spans="2:3" x14ac:dyDescent="0.3">
      <c r="B66" s="2" t="s">
        <v>159</v>
      </c>
      <c r="C66" s="11" t="s">
        <v>87</v>
      </c>
    </row>
    <row r="67" spans="2:3" x14ac:dyDescent="0.3">
      <c r="C67" s="11"/>
    </row>
    <row r="68" spans="2:3" x14ac:dyDescent="0.3">
      <c r="C68" s="11" t="s">
        <v>88</v>
      </c>
    </row>
    <row r="69" spans="2:3" x14ac:dyDescent="0.3">
      <c r="B69" s="2" t="s">
        <v>161</v>
      </c>
      <c r="C69" s="11" t="s">
        <v>89</v>
      </c>
    </row>
    <row r="70" spans="2:3" x14ac:dyDescent="0.3">
      <c r="B70" s="2" t="s">
        <v>162</v>
      </c>
      <c r="C70" s="11" t="s">
        <v>90</v>
      </c>
    </row>
    <row r="71" spans="2:3" x14ac:dyDescent="0.3">
      <c r="B71" s="2" t="s">
        <v>163</v>
      </c>
      <c r="C71" s="11" t="s">
        <v>91</v>
      </c>
    </row>
    <row r="72" spans="2:3" x14ac:dyDescent="0.3">
      <c r="B72" s="2" t="s">
        <v>161</v>
      </c>
      <c r="C72" s="11" t="s">
        <v>92</v>
      </c>
    </row>
    <row r="73" spans="2:3" x14ac:dyDescent="0.3">
      <c r="B73" s="2" t="s">
        <v>162</v>
      </c>
      <c r="C73" s="11" t="s">
        <v>93</v>
      </c>
    </row>
    <row r="74" spans="2:3" x14ac:dyDescent="0.3">
      <c r="B74" s="2" t="s">
        <v>164</v>
      </c>
      <c r="C74" s="11" t="s">
        <v>94</v>
      </c>
    </row>
    <row r="75" spans="2:3" x14ac:dyDescent="0.3">
      <c r="B75" s="2" t="s">
        <v>161</v>
      </c>
      <c r="C75" s="11" t="s">
        <v>95</v>
      </c>
    </row>
    <row r="76" spans="2:3" x14ac:dyDescent="0.3">
      <c r="B76" s="2" t="s">
        <v>165</v>
      </c>
      <c r="C76" s="11" t="s">
        <v>96</v>
      </c>
    </row>
    <row r="77" spans="2:3" x14ac:dyDescent="0.3">
      <c r="B77" s="2" t="s">
        <v>161</v>
      </c>
      <c r="C77" s="11" t="s">
        <v>97</v>
      </c>
    </row>
    <row r="78" spans="2:3" x14ac:dyDescent="0.3">
      <c r="B78" s="2" t="s">
        <v>161</v>
      </c>
      <c r="C78" s="11" t="s">
        <v>98</v>
      </c>
    </row>
    <row r="79" spans="2:3" x14ac:dyDescent="0.3">
      <c r="B79" s="2" t="s">
        <v>161</v>
      </c>
      <c r="C79" s="11" t="s">
        <v>99</v>
      </c>
    </row>
    <row r="80" spans="2:3" x14ac:dyDescent="0.3">
      <c r="B80" s="2" t="s">
        <v>161</v>
      </c>
      <c r="C80" s="11" t="s">
        <v>100</v>
      </c>
    </row>
    <row r="81" spans="2:3" x14ac:dyDescent="0.3">
      <c r="B81" s="2" t="s">
        <v>161</v>
      </c>
      <c r="C81" s="11" t="s">
        <v>101</v>
      </c>
    </row>
    <row r="82" spans="2:3" x14ac:dyDescent="0.3">
      <c r="B82" s="2" t="s">
        <v>161</v>
      </c>
      <c r="C82" s="11" t="s">
        <v>102</v>
      </c>
    </row>
    <row r="83" spans="2:3" x14ac:dyDescent="0.3">
      <c r="B83" s="2" t="s">
        <v>161</v>
      </c>
      <c r="C83" s="11" t="s">
        <v>103</v>
      </c>
    </row>
    <row r="84" spans="2:3" x14ac:dyDescent="0.3">
      <c r="B84" s="2" t="s">
        <v>161</v>
      </c>
      <c r="C84" s="11" t="s">
        <v>104</v>
      </c>
    </row>
    <row r="85" spans="2:3" x14ac:dyDescent="0.3">
      <c r="C85" s="11"/>
    </row>
    <row r="86" spans="2:3" x14ac:dyDescent="0.3">
      <c r="C86" s="11" t="s">
        <v>105</v>
      </c>
    </row>
    <row r="87" spans="2:3" x14ac:dyDescent="0.3">
      <c r="B87" s="2" t="s">
        <v>167</v>
      </c>
      <c r="C87" s="11" t="s">
        <v>106</v>
      </c>
    </row>
    <row r="88" spans="2:3" x14ac:dyDescent="0.3">
      <c r="B88" s="2" t="s">
        <v>166</v>
      </c>
      <c r="C88" s="11" t="s">
        <v>107</v>
      </c>
    </row>
    <row r="89" spans="2:3" x14ac:dyDescent="0.3">
      <c r="B89" s="2" t="s">
        <v>169</v>
      </c>
      <c r="C89" s="11" t="s">
        <v>108</v>
      </c>
    </row>
    <row r="90" spans="2:3" x14ac:dyDescent="0.3">
      <c r="B90" s="2" t="s">
        <v>168</v>
      </c>
      <c r="C90" s="11" t="s">
        <v>109</v>
      </c>
    </row>
    <row r="91" spans="2:3" x14ac:dyDescent="0.3">
      <c r="B91" s="2" t="s">
        <v>166</v>
      </c>
      <c r="C91" s="11" t="s">
        <v>110</v>
      </c>
    </row>
    <row r="92" spans="2:3" x14ac:dyDescent="0.3">
      <c r="B92" s="2" t="s">
        <v>166</v>
      </c>
      <c r="C92" s="11" t="s">
        <v>111</v>
      </c>
    </row>
    <row r="93" spans="2:3" x14ac:dyDescent="0.3">
      <c r="C93" s="11"/>
    </row>
    <row r="94" spans="2:3" x14ac:dyDescent="0.3">
      <c r="C94" s="11" t="s">
        <v>112</v>
      </c>
    </row>
    <row r="95" spans="2:3" x14ac:dyDescent="0.3">
      <c r="B95" s="2" t="s">
        <v>170</v>
      </c>
      <c r="C95" s="11" t="s">
        <v>113</v>
      </c>
    </row>
    <row r="96" spans="2:3" x14ac:dyDescent="0.3">
      <c r="B96" s="2" t="s">
        <v>170</v>
      </c>
      <c r="C96" s="11" t="s">
        <v>114</v>
      </c>
    </row>
    <row r="97" spans="2:3" x14ac:dyDescent="0.3">
      <c r="B97" s="2" t="s">
        <v>170</v>
      </c>
      <c r="C97" s="11" t="s">
        <v>115</v>
      </c>
    </row>
    <row r="98" spans="2:3" x14ac:dyDescent="0.3">
      <c r="B98" s="2" t="s">
        <v>170</v>
      </c>
      <c r="C98" s="11" t="s">
        <v>116</v>
      </c>
    </row>
    <row r="99" spans="2:3" x14ac:dyDescent="0.3">
      <c r="B99" s="2" t="s">
        <v>170</v>
      </c>
      <c r="C99" s="11" t="s">
        <v>117</v>
      </c>
    </row>
    <row r="100" spans="2:3" x14ac:dyDescent="0.3">
      <c r="B100" s="2" t="s">
        <v>170</v>
      </c>
      <c r="C100" s="11" t="s">
        <v>118</v>
      </c>
    </row>
    <row r="101" spans="2:3" x14ac:dyDescent="0.3">
      <c r="B101" s="2" t="s">
        <v>170</v>
      </c>
      <c r="C101" s="11" t="s">
        <v>119</v>
      </c>
    </row>
    <row r="102" spans="2:3" x14ac:dyDescent="0.3">
      <c r="B102" s="2" t="s">
        <v>170</v>
      </c>
      <c r="C102" s="11" t="s">
        <v>120</v>
      </c>
    </row>
    <row r="103" spans="2:3" x14ac:dyDescent="0.3">
      <c r="B103" s="2" t="s">
        <v>170</v>
      </c>
      <c r="C103" s="11" t="s">
        <v>121</v>
      </c>
    </row>
    <row r="104" spans="2:3" x14ac:dyDescent="0.3">
      <c r="B104" s="2" t="s">
        <v>170</v>
      </c>
      <c r="C104" s="11" t="s">
        <v>122</v>
      </c>
    </row>
    <row r="105" spans="2:3" x14ac:dyDescent="0.3">
      <c r="B105" s="2" t="s">
        <v>61</v>
      </c>
      <c r="C105" s="11" t="s">
        <v>123</v>
      </c>
    </row>
    <row r="106" spans="2:3" x14ac:dyDescent="0.3">
      <c r="B106" s="2" t="s">
        <v>171</v>
      </c>
      <c r="C106" s="11" t="s">
        <v>124</v>
      </c>
    </row>
    <row r="107" spans="2:3" x14ac:dyDescent="0.3">
      <c r="B107" s="2" t="s">
        <v>170</v>
      </c>
      <c r="C107" s="11" t="s">
        <v>125</v>
      </c>
    </row>
    <row r="108" spans="2:3" x14ac:dyDescent="0.3">
      <c r="B108" s="2" t="s">
        <v>170</v>
      </c>
      <c r="C108" s="11" t="s">
        <v>126</v>
      </c>
    </row>
    <row r="109" spans="2:3" x14ac:dyDescent="0.3">
      <c r="B109" s="2" t="s">
        <v>170</v>
      </c>
      <c r="C109" s="11" t="s">
        <v>127</v>
      </c>
    </row>
    <row r="110" spans="2:3" x14ac:dyDescent="0.3">
      <c r="B110" s="2" t="s">
        <v>170</v>
      </c>
      <c r="C110" s="11" t="s">
        <v>128</v>
      </c>
    </row>
    <row r="111" spans="2:3" x14ac:dyDescent="0.3">
      <c r="B111" s="2" t="s">
        <v>170</v>
      </c>
      <c r="C111" s="11" t="s">
        <v>129</v>
      </c>
    </row>
    <row r="112" spans="2:3" x14ac:dyDescent="0.3">
      <c r="B112" s="2" t="s">
        <v>170</v>
      </c>
      <c r="C112" s="11" t="s">
        <v>130</v>
      </c>
    </row>
    <row r="113" spans="2:3" x14ac:dyDescent="0.3">
      <c r="B113" s="2" t="s">
        <v>170</v>
      </c>
      <c r="C113" s="11" t="s">
        <v>131</v>
      </c>
    </row>
    <row r="114" spans="2:3" x14ac:dyDescent="0.3">
      <c r="B114" s="2" t="s">
        <v>170</v>
      </c>
      <c r="C114" s="11" t="s">
        <v>132</v>
      </c>
    </row>
    <row r="115" spans="2:3" x14ac:dyDescent="0.3">
      <c r="B115" s="2" t="s">
        <v>170</v>
      </c>
      <c r="C115" s="11" t="s">
        <v>133</v>
      </c>
    </row>
    <row r="116" spans="2:3" x14ac:dyDescent="0.3">
      <c r="B116" s="2" t="s">
        <v>172</v>
      </c>
      <c r="C116" s="11" t="s">
        <v>134</v>
      </c>
    </row>
    <row r="117" spans="2:3" x14ac:dyDescent="0.3">
      <c r="B117" s="2" t="s">
        <v>172</v>
      </c>
      <c r="C117" s="11" t="s">
        <v>135</v>
      </c>
    </row>
    <row r="118" spans="2:3" x14ac:dyDescent="0.3">
      <c r="B118" s="2" t="s">
        <v>172</v>
      </c>
      <c r="C118" s="11" t="s">
        <v>136</v>
      </c>
    </row>
    <row r="119" spans="2:3" x14ac:dyDescent="0.3">
      <c r="B119" s="2" t="s">
        <v>170</v>
      </c>
      <c r="C119" s="11" t="s">
        <v>137</v>
      </c>
    </row>
    <row r="120" spans="2:3" x14ac:dyDescent="0.3">
      <c r="B120" s="2" t="s">
        <v>60</v>
      </c>
      <c r="C120" s="11" t="s">
        <v>460</v>
      </c>
    </row>
    <row r="121" spans="2:3" x14ac:dyDescent="0.3">
      <c r="B121" s="2" t="s">
        <v>170</v>
      </c>
      <c r="C121" s="11" t="s">
        <v>138</v>
      </c>
    </row>
    <row r="122" spans="2:3" x14ac:dyDescent="0.3">
      <c r="B122" s="2" t="s">
        <v>170</v>
      </c>
      <c r="C122" s="11" t="s">
        <v>139</v>
      </c>
    </row>
    <row r="123" spans="2:3" x14ac:dyDescent="0.3">
      <c r="C123" s="11"/>
    </row>
    <row r="124" spans="2:3" x14ac:dyDescent="0.3">
      <c r="C124" s="11" t="s">
        <v>140</v>
      </c>
    </row>
    <row r="125" spans="2:3" x14ac:dyDescent="0.3">
      <c r="B125" s="2" t="s">
        <v>173</v>
      </c>
      <c r="C125" s="11" t="s">
        <v>141</v>
      </c>
    </row>
    <row r="126" spans="2:3" x14ac:dyDescent="0.3">
      <c r="B126" s="2" t="s">
        <v>173</v>
      </c>
      <c r="C126" s="11" t="s">
        <v>142</v>
      </c>
    </row>
    <row r="127" spans="2:3" x14ac:dyDescent="0.3">
      <c r="B127" s="2" t="s">
        <v>174</v>
      </c>
      <c r="C127" s="11" t="s">
        <v>143</v>
      </c>
    </row>
    <row r="128" spans="2:3" x14ac:dyDescent="0.3">
      <c r="B128" s="2" t="s">
        <v>60</v>
      </c>
      <c r="C128" s="11" t="s">
        <v>144</v>
      </c>
    </row>
    <row r="129" spans="2:3" x14ac:dyDescent="0.3">
      <c r="B129" s="2" t="s">
        <v>60</v>
      </c>
      <c r="C129" s="11" t="s">
        <v>145</v>
      </c>
    </row>
    <row r="130" spans="2:3" x14ac:dyDescent="0.3">
      <c r="B130" s="2" t="s">
        <v>175</v>
      </c>
      <c r="C130" s="11" t="s">
        <v>146</v>
      </c>
    </row>
    <row r="131" spans="2:3" x14ac:dyDescent="0.3">
      <c r="B131" s="2" t="s">
        <v>176</v>
      </c>
      <c r="C131" s="11" t="s">
        <v>147</v>
      </c>
    </row>
    <row r="132" spans="2:3" x14ac:dyDescent="0.3">
      <c r="B132" s="2" t="s">
        <v>177</v>
      </c>
      <c r="C132" s="11" t="s">
        <v>148</v>
      </c>
    </row>
    <row r="133" spans="2:3" x14ac:dyDescent="0.3">
      <c r="C133" s="11"/>
    </row>
    <row r="134" spans="2:3" x14ac:dyDescent="0.3">
      <c r="C134" s="11" t="s">
        <v>149</v>
      </c>
    </row>
    <row r="135" spans="2:3" x14ac:dyDescent="0.3">
      <c r="B135" s="2" t="s">
        <v>178</v>
      </c>
      <c r="C135" s="11" t="s">
        <v>150</v>
      </c>
    </row>
    <row r="136" spans="2:3" x14ac:dyDescent="0.3">
      <c r="C136" s="11"/>
    </row>
    <row r="137" spans="2:3" x14ac:dyDescent="0.3">
      <c r="C137" s="11" t="s">
        <v>151</v>
      </c>
    </row>
    <row r="138" spans="2:3" x14ac:dyDescent="0.3">
      <c r="B138" s="2" t="s">
        <v>179</v>
      </c>
      <c r="C138" s="11" t="s">
        <v>152</v>
      </c>
    </row>
    <row r="139" spans="2:3" x14ac:dyDescent="0.3">
      <c r="B139" s="2" t="s">
        <v>179</v>
      </c>
      <c r="C139" s="11" t="s">
        <v>153</v>
      </c>
    </row>
    <row r="140" spans="2:3" x14ac:dyDescent="0.3">
      <c r="C140" s="11"/>
    </row>
    <row r="141" spans="2:3" x14ac:dyDescent="0.3">
      <c r="C141" s="11" t="s">
        <v>154</v>
      </c>
    </row>
    <row r="142" spans="2:3" x14ac:dyDescent="0.3">
      <c r="B142" s="2" t="s">
        <v>180</v>
      </c>
      <c r="C142" s="11" t="s">
        <v>155</v>
      </c>
    </row>
  </sheetData>
  <autoFilter ref="I10:I52" xr:uid="{FA387C36-2242-4E0D-B422-4013632CA7ED}">
    <sortState xmlns:xlrd2="http://schemas.microsoft.com/office/spreadsheetml/2017/richdata2" ref="I11:I52">
      <sortCondition ref="I10:I52"/>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f4e49828-e28f-4509-8b0c-fd7d06cc18f9">
      <Terms xmlns="http://schemas.microsoft.com/office/infopath/2007/PartnerControls"/>
    </lcf76f155ced4ddcb4097134ff3c332f>
    <_ip_UnifiedCompliancePolicyProperties xmlns="http://schemas.microsoft.com/sharepoint/v3" xsi:nil="true"/>
    <TaxCatchAll xmlns="a78e2d5b-93b3-47fd-8672-10322b5c22c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4CF739F5390B448B725B889D7703FED" ma:contentTypeVersion="21" ma:contentTypeDescription="Create a new document." ma:contentTypeScope="" ma:versionID="a79eeabeceaad8ee759a8fcc83eef807">
  <xsd:schema xmlns:xsd="http://www.w3.org/2001/XMLSchema" xmlns:xs="http://www.w3.org/2001/XMLSchema" xmlns:p="http://schemas.microsoft.com/office/2006/metadata/properties" xmlns:ns1="http://schemas.microsoft.com/sharepoint/v3" xmlns:ns2="f4e49828-e28f-4509-8b0c-fd7d06cc18f9" xmlns:ns3="a78e2d5b-93b3-47fd-8672-10322b5c22c5" targetNamespace="http://schemas.microsoft.com/office/2006/metadata/properties" ma:root="true" ma:fieldsID="8db0ee1ef77fe4c695969a9554a8ad8a" ns1:_="" ns2:_="" ns3:_="">
    <xsd:import namespace="http://schemas.microsoft.com/sharepoint/v3"/>
    <xsd:import namespace="f4e49828-e28f-4509-8b0c-fd7d06cc18f9"/>
    <xsd:import namespace="a78e2d5b-93b3-47fd-8672-10322b5c22c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e49828-e28f-4509-8b0c-fd7d06cc18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2b776ce-8f02-48e2-a148-73185e69d3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8e2d5b-93b3-47fd-8672-10322b5c22c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a0e7f59-66a0-4886-89e8-ba6014c47118}" ma:internalName="TaxCatchAll" ma:showField="CatchAllData" ma:web="a78e2d5b-93b3-47fd-8672-10322b5c22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EA15D2-D9D5-4DE4-9B03-8417E2A01980}">
  <ds:schemaRefs>
    <ds:schemaRef ds:uri="http://schemas.microsoft.com/sharepoint/v3/contenttype/forms"/>
  </ds:schemaRefs>
</ds:datastoreItem>
</file>

<file path=customXml/itemProps2.xml><?xml version="1.0" encoding="utf-8"?>
<ds:datastoreItem xmlns:ds="http://schemas.openxmlformats.org/officeDocument/2006/customXml" ds:itemID="{69B546DC-7035-494C-A943-C96D2B46C96E}">
  <ds:schemaRefs>
    <ds:schemaRef ds:uri="http://schemas.microsoft.com/office/2006/metadata/properties"/>
    <ds:schemaRef ds:uri="http://schemas.microsoft.com/office/infopath/2007/PartnerControls"/>
    <ds:schemaRef ds:uri="http://schemas.microsoft.com/sharepoint/v3"/>
    <ds:schemaRef ds:uri="f4e49828-e28f-4509-8b0c-fd7d06cc18f9"/>
    <ds:schemaRef ds:uri="a78e2d5b-93b3-47fd-8672-10322b5c22c5"/>
  </ds:schemaRefs>
</ds:datastoreItem>
</file>

<file path=customXml/itemProps3.xml><?xml version="1.0" encoding="utf-8"?>
<ds:datastoreItem xmlns:ds="http://schemas.openxmlformats.org/officeDocument/2006/customXml" ds:itemID="{100970C9-0E27-46E6-BA56-55D40991BD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4e49828-e28f-4509-8b0c-fd7d06cc18f9"/>
    <ds:schemaRef ds:uri="a78e2d5b-93b3-47fd-8672-10322b5c22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8423870-9817-41d2-8d40-e8b752f865ec}" enabled="0" method="" siteId="{c8423870-9817-41d2-8d40-e8b752f865e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INPUTS</vt:lpstr>
      <vt:lpstr>T-12 Inputs</vt:lpstr>
      <vt:lpstr>Other Income Assumptions</vt:lpstr>
      <vt:lpstr>Payroll Schedule - Lease-Up</vt:lpstr>
      <vt:lpstr>Payroll Schedule</vt:lpstr>
      <vt:lpstr>G&amp;A Assumptions</vt:lpstr>
      <vt:lpstr>Marketing Stack - Lease-Up</vt:lpstr>
      <vt:lpstr>Marketing Stack</vt:lpstr>
      <vt:lpstr>R&amp;M Assumptions</vt:lpstr>
      <vt:lpstr>Utilities Assumptions</vt:lpstr>
      <vt:lpstr>Rent Schedule</vt:lpstr>
      <vt:lpstr>Absorption Schedule</vt:lpstr>
      <vt:lpstr>OUTPUTS</vt:lpstr>
      <vt:lpstr>Proforma (Annual)</vt:lpstr>
      <vt:lpstr>5-Year Projection</vt:lpstr>
      <vt:lpstr>Operating Budget - Monthly</vt:lpstr>
      <vt:lpstr>Lease-Up Proforma</vt:lpstr>
      <vt:lpstr>MISCELLANEOUS</vt:lpstr>
      <vt:lpstr>Marketing List - Dropdowns</vt:lpstr>
      <vt:lpstr>OpStatement List - 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Brooks Steele</dc:creator>
  <cp:lastModifiedBy>Brooks Steele</cp:lastModifiedBy>
  <cp:lastPrinted>2024-10-08T16:49:30Z</cp:lastPrinted>
  <dcterms:created xsi:type="dcterms:W3CDTF">2024-10-04T18:34:37Z</dcterms:created>
  <dcterms:modified xsi:type="dcterms:W3CDTF">2026-06-17T16:09:50Z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0x010100C4CF739F5390B448B725B889D7703FED</vt:lpwstr>
  </property>
  <property fmtid="{D5CDD505-2E9C-101B-9397-08002B2CF9AE}" pid="3" name="MediaServiceImageTags">
    <vt:lpwstr/>
  </property>
</Properties>
</file>